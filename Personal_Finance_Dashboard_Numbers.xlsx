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Summary_Tables" sheetId="3" state="visible" r:id="rId5"/>
    <sheet name="Open in Numbers" sheetId="4" state="visible" r:id="rId6"/>
  </sheets>
  <definedNames>
    <definedName function="false" hidden="false" localSheetId="0" name="_xlnm.Print_Area" vbProcedure="false">Dashboard!$A$1:$P$46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<sst xmlns="http://schemas.openxmlformats.org/spreadsheetml/2006/main" count="1106" uniqueCount="315">
  <si>
    <t xml:space="preserve">PERSONAL FINANCE DASHBOARD  ·  Dec 2025 – Mar 2026</t>
  </si>
  <si>
    <t xml:space="preserve">Tap the dropdowns below to filter — works in both Numbers and Excel</t>
  </si>
  <si>
    <t xml:space="preserve">MONTH</t>
  </si>
  <si>
    <t xml:space="preserve">CATEGORY</t>
  </si>
  <si>
    <t xml:space="preserve">PAYMENT METHOD</t>
  </si>
  <si>
    <t xml:space="preserve">All</t>
  </si>
  <si>
    <t xml:space="preserve">TOTAL SPEND</t>
  </si>
  <si>
    <t xml:space="preserve">MONTHLY AVG</t>
  </si>
  <si>
    <t xml:space="preserve">TRANSACTIONS</t>
  </si>
  <si>
    <t xml:space="preserve">TOP CATEGORY</t>
  </si>
  <si>
    <t xml:space="preserve">AVG PER TXN</t>
  </si>
  <si>
    <t xml:space="preserve">SPEND BY CATEGORY</t>
  </si>
  <si>
    <t xml:space="preserve">DAILY SPEND TREND</t>
  </si>
  <si>
    <t xml:space="preserve">MONTH-OVER-MONTH</t>
  </si>
  <si>
    <t xml:space="preserve">TOP MERCHANTS</t>
  </si>
  <si>
    <t xml:space="preserve">KEY INSIGHTS</t>
  </si>
  <si>
    <t xml:space="preserve">• Total outflow across 4 months: $4,506.53 — one-off charges account for $1,798 (40%), leaving $2,709 of recurring spend.</t>
  </si>
  <si>
    <t xml:space="preserve">• Recurring top category: Restaurants at $667 — this is the realistic lever for saving.</t>
  </si>
  <si>
    <t xml:space="preserve">• Restaurants + Coffee combined: $786 — a sizeable, fully-recurring discretionary slice.</t>
  </si>
  <si>
    <t xml:space="preserve">• BofA Credit carries 76% of your spend; Discover Card carries 24%.</t>
  </si>
  <si>
    <t xml:space="preserve">• Biggest single merchant is 'USCIS I-765 Fee' at $470.00.</t>
  </si>
  <si>
    <t xml:space="preserve">• Month-over-Month chart: orange bar = recurring only, navy = total incl. one-offs.</t>
  </si>
  <si>
    <t xml:space="preserve">TransactionID</t>
  </si>
  <si>
    <t xml:space="preserve">Date</t>
  </si>
  <si>
    <t xml:space="preserve">Year</t>
  </si>
  <si>
    <t xml:space="preserve">Month</t>
  </si>
  <si>
    <t xml:space="preserve">YearMonth</t>
  </si>
  <si>
    <t xml:space="preserve">Description</t>
  </si>
  <si>
    <t xml:space="preserve">Category</t>
  </si>
  <si>
    <t xml:space="preserve">Category_Raw</t>
  </si>
  <si>
    <t xml:space="preserve">Amount</t>
  </si>
  <si>
    <t xml:space="preserve">Payment Method</t>
  </si>
  <si>
    <t xml:space="preserve">Weekday</t>
  </si>
  <si>
    <t xml:space="preserve">IsOneOff</t>
  </si>
  <si>
    <t xml:space="preserve">T0001</t>
  </si>
  <si>
    <t xml:space="preserve">2025-12</t>
  </si>
  <si>
    <t xml:space="preserve">Adidas US Online Store</t>
  </si>
  <si>
    <t xml:space="preserve">Shopping</t>
  </si>
  <si>
    <t xml:space="preserve">Merchandise</t>
  </si>
  <si>
    <t xml:space="preserve">Discover Card</t>
  </si>
  <si>
    <t xml:space="preserve">Friday</t>
  </si>
  <si>
    <t xml:space="preserve">No</t>
  </si>
  <si>
    <t xml:space="preserve">T0002</t>
  </si>
  <si>
    <t xml:space="preserve">Desi Chowrastha Nashua NH</t>
  </si>
  <si>
    <t xml:space="preserve">Restaurants</t>
  </si>
  <si>
    <t xml:space="preserve">Wednesday</t>
  </si>
  <si>
    <t xml:space="preserve">T0003</t>
  </si>
  <si>
    <t xml:space="preserve">Nike.com</t>
  </si>
  <si>
    <t xml:space="preserve">Sunday</t>
  </si>
  <si>
    <t xml:space="preserve">T0004</t>
  </si>
  <si>
    <t xml:space="preserve">Milkshake Lovers Nashua NH</t>
  </si>
  <si>
    <t xml:space="preserve">Tuesday</t>
  </si>
  <si>
    <t xml:space="preserve">T0005</t>
  </si>
  <si>
    <t xml:space="preserve">T0006</t>
  </si>
  <si>
    <t xml:space="preserve">T0007</t>
  </si>
  <si>
    <t xml:space="preserve">Whole Foods Nashua NH</t>
  </si>
  <si>
    <t xml:space="preserve">Groceries</t>
  </si>
  <si>
    <t xml:space="preserve">Supermarkets</t>
  </si>
  <si>
    <t xml:space="preserve">T0008</t>
  </si>
  <si>
    <t xml:space="preserve">Great Clips Nashua NH</t>
  </si>
  <si>
    <t xml:space="preserve">Personal Care</t>
  </si>
  <si>
    <t xml:space="preserve">BofA Credit</t>
  </si>
  <si>
    <t xml:space="preserve">T0009</t>
  </si>
  <si>
    <t xml:space="preserve">Trinity Realty II Cambridge MA</t>
  </si>
  <si>
    <t xml:space="preserve">Housing</t>
  </si>
  <si>
    <t xml:space="preserve">T0010</t>
  </si>
  <si>
    <t xml:space="preserve">75 State St Garage Boston MA</t>
  </si>
  <si>
    <t xml:space="preserve">Transport</t>
  </si>
  <si>
    <t xml:space="preserve">T0011</t>
  </si>
  <si>
    <t xml:space="preserve">Maharaja Cambridge MA</t>
  </si>
  <si>
    <t xml:space="preserve">T0012</t>
  </si>
  <si>
    <t xml:space="preserve">OpenAI ChatGPT Subscription</t>
  </si>
  <si>
    <t xml:space="preserve">Subscriptions</t>
  </si>
  <si>
    <t xml:space="preserve">T0013</t>
  </si>
  <si>
    <t xml:space="preserve">2026-01</t>
  </si>
  <si>
    <t xml:space="preserve">7-Eleven Nashua NH</t>
  </si>
  <si>
    <t xml:space="preserve">Gasoline</t>
  </si>
  <si>
    <t xml:space="preserve">Convenience Store</t>
  </si>
  <si>
    <t xml:space="preserve">Thursday</t>
  </si>
  <si>
    <t xml:space="preserve">T0014</t>
  </si>
  <si>
    <t xml:space="preserve">Nouria Store Nashua NH</t>
  </si>
  <si>
    <t xml:space="preserve">Gas/Convenience</t>
  </si>
  <si>
    <t xml:space="preserve">T0015</t>
  </si>
  <si>
    <t xml:space="preserve">Visafoto.com</t>
  </si>
  <si>
    <t xml:space="preserve">Online Services</t>
  </si>
  <si>
    <t xml:space="preserve">T0016</t>
  </si>
  <si>
    <t xml:space="preserve">Staples Nashua NH</t>
  </si>
  <si>
    <t xml:space="preserve">Office Supplies</t>
  </si>
  <si>
    <t xml:space="preserve">T0017</t>
  </si>
  <si>
    <t xml:space="preserve">Howe Street Superette Methuen MA</t>
  </si>
  <si>
    <t xml:space="preserve">T0018</t>
  </si>
  <si>
    <t xml:space="preserve">Saturday</t>
  </si>
  <si>
    <t xml:space="preserve">T0019</t>
  </si>
  <si>
    <t xml:space="preserve">T0020</t>
  </si>
  <si>
    <t xml:space="preserve">Starbucks Nashua NH</t>
  </si>
  <si>
    <t xml:space="preserve">Coffee</t>
  </si>
  <si>
    <t xml:space="preserve">T0021</t>
  </si>
  <si>
    <t xml:space="preserve">Patel Brothers Nashua NH</t>
  </si>
  <si>
    <t xml:space="preserve">T0022</t>
  </si>
  <si>
    <t xml:space="preserve">Walmart Hudson NH</t>
  </si>
  <si>
    <t xml:space="preserve">Monday</t>
  </si>
  <si>
    <t xml:space="preserve">T0023</t>
  </si>
  <si>
    <t xml:space="preserve">T0024</t>
  </si>
  <si>
    <t xml:space="preserve">Chipotle Methuen MA</t>
  </si>
  <si>
    <t xml:space="preserve">T0025</t>
  </si>
  <si>
    <t xml:space="preserve">T0026</t>
  </si>
  <si>
    <t xml:space="preserve">USCIS I-765 Fee</t>
  </si>
  <si>
    <t xml:space="preserve">Government</t>
  </si>
  <si>
    <t xml:space="preserve">Yes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</si>
  <si>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</si>
  <si>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</si>
  <si>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</si>
  <si>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</si>
  <si>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</si>
  <si>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</si>
  <si>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Vpdfhouse Wilmington DE</t>
  </si>
  <si>
    <t xml:space="preserve">T0033</t>
  </si>
  <si>
    <t xml:space="preserve">T0034</t>
  </si>
  <si>
    <t xml:space="preserve">Summit One Vanderbilt NY</t>
  </si>
  <si>
    <t xml:space="preserve">Entertainment</t>
  </si>
  <si>
    <t xml:space="preserve">T0035</t>
  </si>
  <si>
    <t xml:space="preserve">Gas Station Cranbury NJ</t>
  </si>
  <si>
    <t xml:space="preserve">T0036</t>
  </si>
  <si>
    <t xml:space="preserve">One Vanderbilt New York NY</t>
  </si>
  <si>
    <t xml:space="preserve">T0037</t>
  </si>
  <si>
    <t xml:space="preserve">Foodcourt New York NY</t>
  </si>
  <si>
    <t xml:space="preserve">T0038</t>
  </si>
  <si>
    <t xml:space="preserve">MTA NYCT PayGo New York NY</t>
  </si>
  <si>
    <t xml:space="preserve">T0039</t>
  </si>
  <si>
    <t xml:space="preserve">T0040</t>
  </si>
  <si>
    <t xml:space="preserve">T0041</t>
  </si>
  <si>
    <t xml:space="preserve">T0042</t>
  </si>
  <si>
    <t xml:space="preserve">Starbucks New York NY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</si>
  <si>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</si>
  <si>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</si>
  <si>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</si>
  <si>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</si>
  <si>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</si>
  <si>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Pheasant Lane Nashua NH</t>
  </si>
  <si>
    <t xml:space="preserve">T0048</t>
  </si>
  <si>
    <t xml:space="preserve">ExxonMobil Salem NH</t>
  </si>
  <si>
    <t xml:space="preserve">T0049</t>
  </si>
  <si>
    <t xml:space="preserve">Dunkin Methuen MA</t>
  </si>
  <si>
    <t xml:space="preserve">T0050</t>
  </si>
  <si>
    <t xml:space="preserve">Gong Cha Farmington CT</t>
  </si>
  <si>
    <t xml:space="preserve">T0051</t>
  </si>
  <si>
    <t xml:space="preserve">Macys Starbucks Farmington CT</t>
  </si>
  <si>
    <t xml:space="preserve">T0052</t>
  </si>
  <si>
    <t xml:space="preserve">Apple Cinemas Merrimack NH</t>
  </si>
  <si>
    <t xml:space="preserve">T0053</t>
  </si>
  <si>
    <t xml:space="preserve">Logan Airport Parking Boston MA</t>
  </si>
  <si>
    <t xml:space="preserve">T0054</t>
  </si>
  <si>
    <t xml:space="preserve">The Jewelers Workbench Salem NH</t>
  </si>
  <si>
    <t xml:space="preserve">T0055</t>
  </si>
  <si>
    <t xml:space="preserve">T0056</t>
  </si>
  <si>
    <t xml:space="preserve">Gourmet India Burlington MA</t>
  </si>
  <si>
    <t xml:space="preserve">T0057</t>
  </si>
  <si>
    <t xml:space="preserve">T0058</t>
  </si>
  <si>
    <t xml:space="preserve">T0059</t>
  </si>
  <si>
    <t xml:space="preserve">Cumberland Farms Nashua NH</t>
  </si>
  <si>
    <t xml:space="preserve">T0060</t>
  </si>
  <si>
    <t xml:space="preserve">T0061</t>
  </si>
  <si>
    <t xml:space="preserve">Macys Burlington MA</t>
  </si>
  <si>
    <t xml:space="preserve">T0062</t>
  </si>
  <si>
    <t xml:space="preserve">Abercrombie &amp; Fitch Burlington MA</t>
  </si>
  <si>
    <t xml:space="preserve">T0063</t>
  </si>
  <si>
    <t xml:space="preserve">T0064</t>
  </si>
  <si>
    <t xml:space="preserve">T0065</t>
  </si>
  <si>
    <t xml:space="preserve">Target Nashua NH</t>
  </si>
  <si>
    <t xml:space="preserve">T0066</t>
  </si>
  <si>
    <t xml:space="preserve">Eversource Utility Bill</t>
  </si>
  <si>
    <t xml:space="preserve">Utilities</t>
  </si>
  <si>
    <t xml:space="preserve">T0067</t>
  </si>
  <si>
    <t xml:space="preserve">Costco Nashua NH</t>
  </si>
  <si>
    <t xml:space="preserve">T0068</t>
  </si>
  <si>
    <t xml:space="preserve">American Eagle Nashua NH</t>
  </si>
  <si>
    <t xml:space="preserve">T0069</t>
  </si>
  <si>
    <t xml:space="preserve">Brooks Brothers Lyndhurst NJ</t>
  </si>
  <si>
    <t xml:space="preserve">T0070</t>
  </si>
  <si>
    <t xml:space="preserve">Vpdfhouse Online Services</t>
  </si>
  <si>
    <t xml:space="preserve">T0071</t>
  </si>
  <si>
    <t xml:space="preserve">T0072</t>
  </si>
  <si>
    <t xml:space="preserve">Dunkin North Billerica MA</t>
  </si>
  <si>
    <t xml:space="preserve">T0073</t>
  </si>
  <si>
    <t xml:space="preserve">T0074</t>
  </si>
  <si>
    <t xml:space="preserve">T0075</t>
  </si>
  <si>
    <t xml:space="preserve">T0076</t>
  </si>
  <si>
    <t xml:space="preserve">2026-02</t>
  </si>
  <si>
    <t xml:space="preserve">YMCA Greater Nashua NH</t>
  </si>
  <si>
    <t xml:space="preserve">Services</t>
  </si>
  <si>
    <t xml:space="preserve">T0077</t>
  </si>
  <si>
    <t xml:space="preserve">ExxonMobil North Billerica MA</t>
  </si>
  <si>
    <t xml:space="preserve">T0078</t>
  </si>
  <si>
    <t xml:space="preserve">T0079</t>
  </si>
  <si>
    <t xml:space="preserve">T0080</t>
  </si>
  <si>
    <t xml:space="preserve">T0081</t>
  </si>
  <si>
    <t xml:space="preserve">Uber Trip</t>
  </si>
  <si>
    <t xml:space="preserve">T0082</t>
  </si>
  <si>
    <t xml:space="preserve">T0083</t>
  </si>
  <si>
    <t xml:space="preserve">Tripoli's Methuen MA</t>
  </si>
  <si>
    <t xml:space="preserve">T0084</t>
  </si>
  <si>
    <t xml:space="preserve">T0085</t>
  </si>
  <si>
    <t xml:space="preserve">Dunkin Tyngsboro MA</t>
  </si>
  <si>
    <t xml:space="preserve">T0086</t>
  </si>
  <si>
    <t xml:space="preserve">T0087</t>
  </si>
  <si>
    <t xml:space="preserve">Shaws Nashua NH</t>
  </si>
  <si>
    <t xml:space="preserve">T0088</t>
  </si>
  <si>
    <t xml:space="preserve">T0089</t>
  </si>
  <si>
    <t xml:space="preserve">Barnes &amp; Noble Nashua NH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</si>
  <si>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</si>
  <si>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</si>
  <si>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</si>
  <si>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</si>
  <si>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</si>
  <si>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</si>
  <si>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Tropical Smoothie Cafe Methuen MA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</si>
  <si>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</si>
  <si>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</si>
  <si>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</si>
  <si>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</si>
  <si>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</si>
  <si>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</si>
  <si>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</si>
  <si>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</si>
  <si>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</si>
  <si>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Mint Mobile Subscription</t>
  </si>
  <si>
    <t xml:space="preserve">T0105</t>
  </si>
  <si>
    <t xml:space="preserve">Schoharie Town Court NY</t>
  </si>
  <si>
    <t xml:space="preserve">Fines/Legal</t>
  </si>
  <si>
    <t xml:space="preserve">T0106</t>
  </si>
  <si>
    <t xml:space="preserve">Schoharie Court Fee</t>
  </si>
  <si>
    <t xml:space="preserve">T0107</t>
  </si>
  <si>
    <t xml:space="preserve">T0108</t>
  </si>
  <si>
    <t xml:space="preserve">Pressed Cafe Nashua NH</t>
  </si>
  <si>
    <t xml:space="preserve">T0109</t>
  </si>
  <si>
    <t xml:space="preserve">T0110</t>
  </si>
  <si>
    <t xml:space="preserve">Google One Subscription</t>
  </si>
  <si>
    <t xml:space="preserve">T0111</t>
  </si>
  <si>
    <t xml:space="preserve">T0112</t>
  </si>
  <si>
    <t xml:space="preserve">McDonald's Lowell MA</t>
  </si>
  <si>
    <t xml:space="preserve">T0113</t>
  </si>
  <si>
    <t xml:space="preserve">2026-03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</si>
  <si>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</si>
  <si>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</si>
  <si>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</si>
  <si>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</si>
  <si>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</si>
  <si>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</si>
  <si>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Chipotle Nashua NH</t>
  </si>
  <si>
    <t xml:space="preserve">T0120</t>
  </si>
  <si>
    <t xml:space="preserve">T0121</t>
  </si>
  <si>
    <t xml:space="preserve">Costco Online</t>
  </si>
  <si>
    <t xml:space="preserve">Total</t>
  </si>
  <si>
    <t xml:space="preserve">Count</t>
  </si>
  <si>
    <t xml:space="preserve">Recurring</t>
  </si>
  <si>
    <t xml:space="preserve">Merchant</t>
  </si>
  <si>
    <t xml:space="preserve">Spend</t>
  </si>
  <si>
    <t xml:space="preserve">01-10</t>
  </si>
  <si>
    <t xml:space="preserve">01-12</t>
  </si>
  <si>
    <t xml:space="preserve">01-13</t>
  </si>
  <si>
    <t xml:space="preserve">01-14</t>
  </si>
  <si>
    <t xml:space="preserve">01-15</t>
  </si>
  <si>
    <t xml:space="preserve">01-16</t>
  </si>
  <si>
    <t xml:space="preserve">01-17</t>
  </si>
  <si>
    <t xml:space="preserve">01-19</t>
  </si>
  <si>
    <t xml:space="preserve">01-20</t>
  </si>
  <si>
    <t xml:space="preserve">01-23</t>
  </si>
  <si>
    <t xml:space="preserve">01-24</t>
  </si>
  <si>
    <t xml:space="preserve">01-27</t>
  </si>
  <si>
    <t xml:space="preserve">01-28</t>
  </si>
  <si>
    <t xml:space="preserve">01-30</t>
  </si>
  <si>
    <t xml:space="preserve">01-31</t>
  </si>
  <si>
    <t xml:space="preserve">02-02</t>
  </si>
  <si>
    <t xml:space="preserve">02-03</t>
  </si>
  <si>
    <t xml:space="preserve">02-05</t>
  </si>
  <si>
    <t xml:space="preserve">02-07</t>
  </si>
  <si>
    <t xml:space="preserve">02-09</t>
  </si>
  <si>
    <t xml:space="preserve">02-10</t>
  </si>
  <si>
    <t xml:space="preserve">02-11</t>
  </si>
  <si>
    <t xml:space="preserve">02-13</t>
  </si>
  <si>
    <t xml:space="preserve">02-15</t>
  </si>
  <si>
    <t xml:space="preserve">02-16</t>
  </si>
  <si>
    <t xml:space="preserve">02-18</t>
  </si>
  <si>
    <t xml:space="preserve">02-19</t>
  </si>
  <si>
    <t xml:space="preserve">02-20</t>
  </si>
  <si>
    <t xml:space="preserve">02-21</t>
  </si>
  <si>
    <t xml:space="preserve">02-22</t>
  </si>
  <si>
    <t xml:space="preserve">02-23</t>
  </si>
  <si>
    <t xml:space="preserve">02-24</t>
  </si>
  <si>
    <t xml:space="preserve">02-25</t>
  </si>
  <si>
    <t xml:space="preserve">02-26</t>
  </si>
  <si>
    <t xml:space="preserve">02-28</t>
  </si>
  <si>
    <t xml:space="preserve">03-01</t>
  </si>
  <si>
    <t xml:space="preserve">03-02</t>
  </si>
  <si>
    <t xml:space="preserve">03-04</t>
  </si>
  <si>
    <t xml:space="preserve">03-11</t>
  </si>
  <si>
    <t xml:space="preserve">03-24</t>
  </si>
  <si>
    <t xml:space="preserve">WHEN OPENING THIS IN APPLE NUMBERS</t>
  </si>
  <si>
    <t xml:space="preserve">1. Double-click the .xlsx — Numbers will import it and may show a warning</t>
  </si>
  <si>
    <t xml:space="preserve">   that some features were changed. Click 'Continue' — the dashboard is</t>
  </si>
  <si>
    <t xml:space="preserve">   designed to survive the import.</t>
  </si>
  <si>
    <t xml:space="preserve">2. The filter cells on the Dashboard (MONTH / CATEGORY / PAYMENT METHOD)</t>
  </si>
  <si>
    <t xml:space="preserve">   become Numbers pop-up menus. Tap a cell, pick a value, and every KPI</t>
  </si>
  <si>
    <t xml:space="preserve">   and chart recalculates automatically — same interactivity as Excel.</t>
  </si>
  <si>
    <t xml:space="preserve">3. All formulas use plain cell ranges (e.g. Transactions!$H$2:$H$122),</t>
  </si>
  <si>
    <t xml:space="preserve">   not Excel Table names — Numbers handles these natively.</t>
  </si>
  <si>
    <t xml:space="preserve">4. Charts are standard bar / column / line / pie — Numbers re-renders</t>
  </si>
  <si>
    <t xml:space="preserve">   them with its own style after import.</t>
  </si>
  <si>
    <t xml:space="preserve">5. To save a native .numbers copy: File → Save As… → Numbers format.</t>
  </si>
  <si>
    <t xml:space="preserve">KNOWN LIMITATIONS</t>
  </si>
  <si>
    <t xml:space="preserve">• Numbers recalculates on open; the first load may flash #REF briefly.</t>
  </si>
  <si>
    <t xml:space="preserve">• If you add rows to the Transactions sheet beyond row 122, extend the</t>
  </si>
  <si>
    <t xml:space="preserve">  formula ranges in Summary_Tables to match the new last row.</t>
  </si>
  <si>
    <t xml:space="preserve">• The page-layout / print-area settings are an Excel convention — Numbers</t>
  </si>
  <si>
    <t xml:space="preserve">  has its own Print view; those settings are ignored.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</si>
</sst>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@"/>
    <numFmt numFmtId="168" formatCode="\$#,##0"/>
    <numFmt numFmtId="169" formatCode="yyyy\-mm\-dd"/>
    <numFmt numFmtId="170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4E78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color rgb="FF1F2937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F2F7FC"/>
        <bgColor rgb="FFF9F9F9"/>
      </patternFill>
    </fill>
    <fill>
      <patternFill patternType="solid">
        <fgColor rgb="FFDDEBF7"/>
        <bgColor rgb="FFF2F7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78787"/>
      <rgbColor rgb="FF9999FF"/>
      <rgbColor rgb="FF993366"/>
      <rgbColor rgb="FFF9F9F9"/>
      <rgbColor rgb="FFDDEBF7"/>
      <rgbColor rgb="FF660066"/>
      <rgbColor rgb="FFF79256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Summary_Tables!B1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Summary_Tables!$A$2:$A$16</c:f>
              <c:strCache>
                <c:ptCount val="15"/>
                <c:pt idx="0">
                  <c:v>Office Supplies</c:v>
                </c:pt>
                <c:pt idx="1">
                  <c:v>Housing</c:v>
                </c:pt>
                <c:pt idx="2">
                  <c:v>Personal Care</c:v>
                </c:pt>
                <c:pt idx="3">
                  <c:v>Services</c:v>
                </c:pt>
                <c:pt idx="4">
                  <c:v>Coffee</c:v>
                </c:pt>
                <c:pt idx="5">
                  <c:v>Transport</c:v>
                </c:pt>
                <c:pt idx="6">
                  <c:v>Fines/Legal</c:v>
                </c:pt>
                <c:pt idx="7">
                  <c:v>Gasoline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Utilities</c:v>
                </c:pt>
                <c:pt idx="11">
                  <c:v>Government</c:v>
                </c:pt>
                <c:pt idx="12">
                  <c:v>Groceries</c:v>
                </c:pt>
                <c:pt idx="13">
                  <c:v>Restaurants</c:v>
                </c:pt>
                <c:pt idx="14">
                  <c:v>Shopping</c:v>
                </c:pt>
              </c:strCache>
            </c:strRef>
          </c:cat>
          <c:val>
            <c:numRef>
              <c:f>Summary_Tables!$B$2:$B$16</c:f>
              <c:numCache>
                <c:formatCode>\$#,##0.00;"($"#,##0.00\);\-</c:formatCode>
                <c:ptCount val="15"/>
                <c:pt idx="0">
                  <c:v>12.69</c:v>
                </c:pt>
                <c:pt idx="1">
                  <c:v>15</c:v>
                </c:pt>
                <c:pt idx="2">
                  <c:v>47</c:v>
                </c:pt>
                <c:pt idx="3">
                  <c:v>106.96</c:v>
                </c:pt>
                <c:pt idx="4">
                  <c:v>119.65</c:v>
                </c:pt>
                <c:pt idx="5">
                  <c:v>142.92</c:v>
                </c:pt>
                <c:pt idx="6">
                  <c:v>173.02</c:v>
                </c:pt>
                <c:pt idx="7">
                  <c:v>259.7</c:v>
                </c:pt>
                <c:pt idx="8">
                  <c:v>304.4</c:v>
                </c:pt>
                <c:pt idx="9">
                  <c:v>384.56</c:v>
                </c:pt>
                <c:pt idx="10">
                  <c:v>460.07</c:v>
                </c:pt>
                <c:pt idx="11">
                  <c:v>470</c:v>
                </c:pt>
                <c:pt idx="12">
                  <c:v>620.41</c:v>
                </c:pt>
                <c:pt idx="13">
                  <c:v>666.68</c:v>
                </c:pt>
                <c:pt idx="14">
                  <c:v>723.47</c:v>
                </c:pt>
              </c:numCache>
            </c:numRef>
          </c:val>
        </c:ser>
        <c:gapWidth val="150"/>
        <c:overlap val="0"/>
        <c:axId val="19248583"/>
        <c:axId val="15000789"/>
      </c:barChart>
      <c:catAx>
        <c:axId val="19248583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00789"/>
        <c:crosses val="autoZero"/>
        <c:auto val="1"/>
        <c:lblAlgn val="ctr"/>
        <c:lblOffset val="100"/>
        <c:noMultiLvlLbl val="0"/>
      </c:catAx>
      <c:valAx>
        <c:axId val="15000789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485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Spend (recent)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Summary_Tables!R1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Summary_Tables!$Q$2:$Q$41</c:f>
              <c:strCache>
                <c:ptCount val="40"/>
                <c:pt idx="0">
                  <c:v>01-10</c:v>
                </c:pt>
                <c:pt idx="1">
                  <c:v>01-12</c:v>
                </c:pt>
                <c:pt idx="2">
                  <c:v>01-13</c:v>
                </c:pt>
                <c:pt idx="3">
                  <c:v>01-14</c:v>
                </c:pt>
                <c:pt idx="4">
                  <c:v>01-15</c:v>
                </c:pt>
                <c:pt idx="5">
                  <c:v>01-16</c:v>
                </c:pt>
                <c:pt idx="6">
                  <c:v>01-17</c:v>
                </c:pt>
                <c:pt idx="7">
                  <c:v>01-19</c:v>
                </c:pt>
                <c:pt idx="8">
                  <c:v>01-20</c:v>
                </c:pt>
                <c:pt idx="9">
                  <c:v>01-23</c:v>
                </c:pt>
                <c:pt idx="10">
                  <c:v>01-24</c:v>
                </c:pt>
                <c:pt idx="11">
                  <c:v>01-27</c:v>
                </c:pt>
                <c:pt idx="12">
                  <c:v>01-28</c:v>
                </c:pt>
                <c:pt idx="13">
                  <c:v>01-30</c:v>
                </c:pt>
                <c:pt idx="14">
                  <c:v>01-31</c:v>
                </c:pt>
                <c:pt idx="15">
                  <c:v>02-02</c:v>
                </c:pt>
                <c:pt idx="16">
                  <c:v>02-03</c:v>
                </c:pt>
                <c:pt idx="17">
                  <c:v>02-05</c:v>
                </c:pt>
                <c:pt idx="18">
                  <c:v>02-07</c:v>
                </c:pt>
                <c:pt idx="19">
                  <c:v>02-09</c:v>
                </c:pt>
                <c:pt idx="20">
                  <c:v>02-10</c:v>
                </c:pt>
                <c:pt idx="21">
                  <c:v>02-11</c:v>
                </c:pt>
                <c:pt idx="22">
                  <c:v>02-13</c:v>
                </c:pt>
                <c:pt idx="23">
                  <c:v>02-15</c:v>
                </c:pt>
                <c:pt idx="24">
                  <c:v>02-16</c:v>
                </c:pt>
                <c:pt idx="25">
                  <c:v>02-18</c:v>
                </c:pt>
                <c:pt idx="26">
                  <c:v>02-19</c:v>
                </c:pt>
                <c:pt idx="27">
                  <c:v>02-20</c:v>
                </c:pt>
                <c:pt idx="28">
                  <c:v>02-21</c:v>
                </c:pt>
                <c:pt idx="29">
                  <c:v>02-22</c:v>
                </c:pt>
                <c:pt idx="30">
                  <c:v>02-23</c:v>
                </c:pt>
                <c:pt idx="31">
                  <c:v>02-24</c:v>
                </c:pt>
                <c:pt idx="32">
                  <c:v>02-25</c:v>
                </c:pt>
                <c:pt idx="33">
                  <c:v>02-26</c:v>
                </c:pt>
                <c:pt idx="34">
                  <c:v>02-28</c:v>
                </c:pt>
                <c:pt idx="35">
                  <c:v>03-01</c:v>
                </c:pt>
                <c:pt idx="36">
                  <c:v>03-02</c:v>
                </c:pt>
                <c:pt idx="37">
                  <c:v>03-04</c:v>
                </c:pt>
                <c:pt idx="38">
                  <c:v>03-11</c:v>
                </c:pt>
                <c:pt idx="39">
                  <c:v>03-24</c:v>
                </c:pt>
              </c:strCache>
            </c:strRef>
          </c:cat>
          <c:val>
            <c:numRef>
              <c:f>Summary_Tables!$R$2:$R$41</c:f>
              <c:numCache>
                <c:formatCode>\$#,##0.00;"($"#,##0.00\);\-</c:formatCode>
                <c:ptCount val="40"/>
                <c:pt idx="0">
                  <c:v>251.51</c:v>
                </c:pt>
                <c:pt idx="1">
                  <c:v>23.37</c:v>
                </c:pt>
                <c:pt idx="2">
                  <c:v>99.84</c:v>
                </c:pt>
                <c:pt idx="3">
                  <c:v>52.05</c:v>
                </c:pt>
                <c:pt idx="4">
                  <c:v>33.1</c:v>
                </c:pt>
                <c:pt idx="5">
                  <c:v>15.57</c:v>
                </c:pt>
                <c:pt idx="6">
                  <c:v>22.84</c:v>
                </c:pt>
                <c:pt idx="7">
                  <c:v>68</c:v>
                </c:pt>
                <c:pt idx="8">
                  <c:v>60.47</c:v>
                </c:pt>
                <c:pt idx="9">
                  <c:v>98.78</c:v>
                </c:pt>
                <c:pt idx="10">
                  <c:v>256.99</c:v>
                </c:pt>
                <c:pt idx="11">
                  <c:v>332.11</c:v>
                </c:pt>
                <c:pt idx="12">
                  <c:v>93.92</c:v>
                </c:pt>
                <c:pt idx="13">
                  <c:v>88.26</c:v>
                </c:pt>
                <c:pt idx="14">
                  <c:v>29.73</c:v>
                </c:pt>
                <c:pt idx="15">
                  <c:v>89.17</c:v>
                </c:pt>
                <c:pt idx="16">
                  <c:v>20</c:v>
                </c:pt>
                <c:pt idx="17">
                  <c:v>8.85</c:v>
                </c:pt>
                <c:pt idx="18">
                  <c:v>4.18</c:v>
                </c:pt>
                <c:pt idx="19">
                  <c:v>11.15</c:v>
                </c:pt>
                <c:pt idx="20">
                  <c:v>55.95</c:v>
                </c:pt>
                <c:pt idx="21">
                  <c:v>8.5</c:v>
                </c:pt>
                <c:pt idx="22">
                  <c:v>70.06</c:v>
                </c:pt>
                <c:pt idx="23">
                  <c:v>122.69</c:v>
                </c:pt>
                <c:pt idx="24">
                  <c:v>24.93</c:v>
                </c:pt>
                <c:pt idx="25">
                  <c:v>113.51</c:v>
                </c:pt>
                <c:pt idx="26">
                  <c:v>8.34</c:v>
                </c:pt>
                <c:pt idx="27">
                  <c:v>19.43</c:v>
                </c:pt>
                <c:pt idx="28">
                  <c:v>59.16</c:v>
                </c:pt>
                <c:pt idx="29">
                  <c:v>267.12</c:v>
                </c:pt>
                <c:pt idx="30">
                  <c:v>173.02</c:v>
                </c:pt>
                <c:pt idx="31">
                  <c:v>19.8</c:v>
                </c:pt>
                <c:pt idx="32">
                  <c:v>232.61</c:v>
                </c:pt>
                <c:pt idx="33">
                  <c:v>7.49</c:v>
                </c:pt>
                <c:pt idx="34">
                  <c:v>32.6</c:v>
                </c:pt>
                <c:pt idx="35">
                  <c:v>50.38</c:v>
                </c:pt>
                <c:pt idx="36">
                  <c:v>30.9</c:v>
                </c:pt>
                <c:pt idx="37">
                  <c:v>24</c:v>
                </c:pt>
                <c:pt idx="38">
                  <c:v>138.45</c:v>
                </c:pt>
                <c:pt idx="39">
                  <c:v>30.99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781772"/>
        <c:axId val="10975218"/>
      </c:lineChart>
      <c:catAx>
        <c:axId val="34781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975218"/>
        <c:crosses val="autoZero"/>
        <c:auto val="1"/>
        <c:lblAlgn val="ctr"/>
        <c:lblOffset val="100"/>
        <c:noMultiLvlLbl val="0"/>
      </c:catAx>
      <c:valAx>
        <c:axId val="1097521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781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Spend — Total vs Recurring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Summary_Tables!F1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Summary_Tables!$E$2:$E$5</c:f>
              <c:strCache>
                <c:ptCount val="4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</c:strCache>
            </c:strRef>
          </c:cat>
          <c:val>
            <c:numRef>
              <c:f>Summary_Tables!$F$2:$F$5</c:f>
              <c:numCache>
                <c:formatCode>\$#,##0.00;"($"#,##0.00\);\-</c:formatCode>
                <c:ptCount val="4"/>
                <c:pt idx="0">
                  <c:v>713.69</c:v>
                </c:pt>
                <c:pt idx="1">
                  <c:v>2169.56</c:v>
                </c:pt>
                <c:pt idx="2">
                  <c:v>1348.56</c:v>
                </c:pt>
                <c:pt idx="3">
                  <c:v>274.72</c:v>
                </c:pt>
              </c:numCache>
            </c:numRef>
          </c:val>
        </c:ser>
        <c:ser>
          <c:idx val="1"/>
          <c:order val="1"/>
          <c:tx>
            <c:strRef>
              <c:f>Summary_Tables!G1</c:f>
              <c:strCache>
                <c:ptCount val="1"/>
                <c:pt idx="0">
                  <c:v>Recurring</c:v>
                </c:pt>
              </c:strCache>
            </c:strRef>
          </c:tx>
          <c:spPr>
            <a:solidFill>
              <a:srgbClr val="F7925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Summary_Tables!$E$2:$E$5</c:f>
              <c:strCache>
                <c:ptCount val="4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</c:strCache>
            </c:strRef>
          </c:cat>
          <c:val>
            <c:numRef>
              <c:f>Summary_Tables!$G$2:$G$5</c:f>
              <c:numCache>
                <c:formatCode>\$#,##0.00;"($"#,##0.00\);\-</c:formatCode>
                <c:ptCount val="4"/>
                <c:pt idx="0">
                  <c:v>713.69</c:v>
                </c:pt>
                <c:pt idx="1">
                  <c:v>1044.7</c:v>
                </c:pt>
                <c:pt idx="2">
                  <c:v>675.81</c:v>
                </c:pt>
                <c:pt idx="3">
                  <c:v>274.72</c:v>
                </c:pt>
              </c:numCache>
            </c:numRef>
          </c:val>
        </c:ser>
        <c:gapWidth val="150"/>
        <c:overlap val="0"/>
        <c:axId val="60123266"/>
        <c:axId val="64109689"/>
      </c:barChart>
      <c:catAx>
        <c:axId val="60123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09689"/>
        <c:crosses val="autoZero"/>
        <c:auto val="1"/>
        <c:lblAlgn val="ctr"/>
        <c:lblOffset val="100"/>
        <c:noMultiLvlLbl val="0"/>
      </c:catAx>
      <c:valAx>
        <c:axId val="64109689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232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Payment Method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Summary_Tables!J1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7925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Summary_Tables!$I$2:$I$3</c:f>
              <c:strCache>
                <c:ptCount val="2"/>
                <c:pt idx="0">
                  <c:v>BofA Credit</c:v>
                </c:pt>
                <c:pt idx="1">
                  <c:v>Discover Card</c:v>
                </c:pt>
              </c:strCache>
            </c:strRef>
          </c:cat>
          <c:val>
            <c:numRef>
              <c:f>Summary_Tables!$J$2:$J$3</c:f>
              <c:numCache>
                <c:formatCode>\$#,##0.00;"($"#,##0.00\);\-</c:formatCode>
                <c:ptCount val="2"/>
                <c:pt idx="0">
                  <c:v>3426.92</c:v>
                </c:pt>
                <c:pt idx="1">
                  <c:v>1079.61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Merchants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Summary_Tables!N1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25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Summary_Tables!$M$2:$M$11</c:f>
              <c:strCache>
                <c:ptCount val="10"/>
                <c:pt idx="0">
                  <c:v>Abercrombie &amp; Fitch Burlington MA</c:v>
                </c:pt>
                <c:pt idx="1">
                  <c:v>Schoharie Town Court NY</c:v>
                </c:pt>
                <c:pt idx="2">
                  <c:v>Maharaja Cambridge MA</c:v>
                </c:pt>
                <c:pt idx="3">
                  <c:v>Costco Nashua NH</c:v>
                </c:pt>
                <c:pt idx="4">
                  <c:v>Patel Brothers Nashua NH</c:v>
                </c:pt>
                <c:pt idx="5">
                  <c:v>Summit One Vanderbilt NY</c:v>
                </c:pt>
                <c:pt idx="6">
                  <c:v>Mint Mobile Subscription</c:v>
                </c:pt>
                <c:pt idx="7">
                  <c:v>Desi Chowrastha Nashua NH</c:v>
                </c:pt>
                <c:pt idx="8">
                  <c:v>Eversource Utility Bill</c:v>
                </c:pt>
                <c:pt idx="9">
                  <c:v>USCIS I-765 Fee</c:v>
                </c:pt>
              </c:strCache>
            </c:strRef>
          </c:cat>
          <c:val>
            <c:numRef>
              <c:f>Summary_Tables!$N$2:$N$11</c:f>
              <c:numCache>
                <c:formatCode>\$#,##0.00;"($"#,##0.00\);\-</c:formatCode>
                <c:ptCount val="10"/>
                <c:pt idx="0">
                  <c:v>165</c:v>
                </c:pt>
                <c:pt idx="1">
                  <c:v>168</c:v>
                </c:pt>
                <c:pt idx="2">
                  <c:v>213.9</c:v>
                </c:pt>
                <c:pt idx="3">
                  <c:v>240.07</c:v>
                </c:pt>
                <c:pt idx="4">
                  <c:v>250.61</c:v>
                </c:pt>
                <c:pt idx="5">
                  <c:v>262.4</c:v>
                </c:pt>
                <c:pt idx="6">
                  <c:v>267.12</c:v>
                </c:pt>
                <c:pt idx="7">
                  <c:v>287.33</c:v>
                </c:pt>
                <c:pt idx="8">
                  <c:v>460.07</c:v>
                </c:pt>
                <c:pt idx="9">
                  <c:v>470</c:v>
                </c:pt>
              </c:numCache>
            </c:numRef>
          </c:val>
        </c:ser>
        <c:gapWidth val="150"/>
        <c:overlap val="0"/>
        <c:axId val="23932190"/>
        <c:axId val="49429138"/>
      </c:barChart>
      <c:catAx>
        <c:axId val="23932190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29138"/>
        <c:crosses val="autoZero"/>
        <c:auto val="1"/>
        <c:lblAlgn val="ctr"/>
        <c:lblOffset val="100"/>
        <c:noMultiLvlLbl val="0"/>
      </c:catAx>
      <c:valAx>
        <c:axId val="49429138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321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4</xdr:col>
      <xdr:colOff>1437480</xdr:colOff>
      <xdr:row>25</xdr:row>
      <xdr:rowOff>99000</xdr:rowOff>
    </xdr:to>
    <xdr:graphicFrame>
      <xdr:nvGraphicFramePr>
        <xdr:cNvPr id="1" name="Chart 1"/>
        <xdr:cNvGraphicFramePr/>
      </xdr:nvGraphicFramePr>
      <xdr:xfrm>
        <a:off x="141120" y="2752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354960</xdr:colOff>
      <xdr:row>25</xdr:row>
      <xdr:rowOff>99000</xdr:rowOff>
    </xdr:to>
    <xdr:graphicFrame>
      <xdr:nvGraphicFramePr>
        <xdr:cNvPr id="2" name="Chart 2"/>
        <xdr:cNvGraphicFramePr/>
      </xdr:nvGraphicFramePr>
      <xdr:xfrm>
        <a:off x="6625440" y="275256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4</xdr:col>
      <xdr:colOff>1437480</xdr:colOff>
      <xdr:row>38</xdr:row>
      <xdr:rowOff>109080</xdr:rowOff>
    </xdr:to>
    <xdr:graphicFrame>
      <xdr:nvGraphicFramePr>
        <xdr:cNvPr id="3" name="Chart 3"/>
        <xdr:cNvGraphicFramePr/>
      </xdr:nvGraphicFramePr>
      <xdr:xfrm>
        <a:off x="141120" y="53532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10</xdr:col>
      <xdr:colOff>357120</xdr:colOff>
      <xdr:row>38</xdr:row>
      <xdr:rowOff>109080</xdr:rowOff>
    </xdr:to>
    <xdr:graphicFrame>
      <xdr:nvGraphicFramePr>
        <xdr:cNvPr id="4" name="Chart 4"/>
        <xdr:cNvGraphicFramePr/>
      </xdr:nvGraphicFramePr>
      <xdr:xfrm>
        <a:off x="6625440" y="535320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25</xdr:row>
      <xdr:rowOff>0</xdr:rowOff>
    </xdr:from>
    <xdr:to>
      <xdr:col>14</xdr:col>
      <xdr:colOff>717120</xdr:colOff>
      <xdr:row>38</xdr:row>
      <xdr:rowOff>109080</xdr:rowOff>
    </xdr:to>
    <xdr:graphicFrame>
      <xdr:nvGraphicFramePr>
        <xdr:cNvPr id="5" name="Chart 5"/>
        <xdr:cNvGraphicFramePr/>
      </xdr:nvGraphicFramePr>
      <xdr:xfrm>
        <a:off x="11418480" y="53532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2"/>
    <col collapsed="false" customWidth="true" hidden="false" outlineLevel="0" max="6" min="5" style="0" width="22"/>
    <col collapsed="false" customWidth="true" hidden="false" outlineLevel="0" max="7" min="7" style="0" width="2"/>
    <col collapsed="false" customWidth="true" hidden="false" outlineLevel="0" max="9" min="8" style="0" width="22"/>
    <col collapsed="false" customWidth="true" hidden="false" outlineLevel="0" max="10" min="10" style="0" width="2"/>
    <col collapsed="false" customWidth="true" hidden="false" outlineLevel="0" max="12" min="11" style="0" width="22"/>
    <col collapsed="false" customWidth="true" hidden="false" outlineLevel="0" max="13" min="13" style="0" width="2"/>
    <col collapsed="false" customWidth="true" hidden="false" outlineLevel="0" max="15" min="14" style="0" width="22"/>
    <col collapsed="false" customWidth="true" hidden="false" outlineLevel="0" max="16" min="16" style="0" width="2"/>
  </cols>
  <sheetData>
    <row r="1" customFormat="false" ht="24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customFormat="false" ht="21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</row>
    <row r="4" customFormat="false" ht="18" hidden="false" customHeight="true" outlineLevel="0" collapsed="false">
      <c r="A4" s="1"/>
      <c r="B4" s="4" t="s">
        <v>2</v>
      </c>
      <c r="C4" s="4"/>
      <c r="D4" s="1"/>
      <c r="E4" s="4" t="s">
        <v>3</v>
      </c>
      <c r="F4" s="4"/>
      <c r="G4" s="1"/>
      <c r="H4" s="4" t="s">
        <v>4</v>
      </c>
      <c r="I4" s="4"/>
      <c r="J4" s="1"/>
      <c r="K4" s="1"/>
      <c r="L4" s="1"/>
      <c r="M4" s="1"/>
      <c r="N4" s="1"/>
      <c r="O4" s="1"/>
      <c r="P4" s="1"/>
      <c r="Q4" s="1"/>
    </row>
    <row r="5" customFormat="false" ht="25.5" hidden="false" customHeight="true" outlineLevel="0" collapsed="false">
      <c r="A5" s="1"/>
      <c r="B5" s="5" t="s">
        <v>5</v>
      </c>
      <c r="C5" s="5"/>
      <c r="D5" s="1"/>
      <c r="E5" s="5" t="s">
        <v>5</v>
      </c>
      <c r="F5" s="5"/>
      <c r="G5" s="1"/>
      <c r="H5" s="5" t="s">
        <v>5</v>
      </c>
      <c r="I5" s="5"/>
      <c r="J5" s="1"/>
      <c r="K5" s="1"/>
      <c r="L5" s="1"/>
      <c r="M5" s="1"/>
      <c r="N5" s="1"/>
      <c r="O5" s="1"/>
      <c r="P5" s="1"/>
      <c r="Q5" s="1"/>
    </row>
    <row r="6" customFormat="false" ht="9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8" hidden="false" customHeight="true" outlineLevel="0" collapsed="false">
      <c r="A7" s="1"/>
      <c r="B7" s="6" t="s">
        <v>6</v>
      </c>
      <c r="C7" s="6"/>
      <c r="D7" s="1"/>
      <c r="E7" s="6" t="s">
        <v>7</v>
      </c>
      <c r="F7" s="6"/>
      <c r="G7" s="1"/>
      <c r="H7" s="6" t="s">
        <v>8</v>
      </c>
      <c r="I7" s="6"/>
      <c r="J7" s="1"/>
      <c r="K7" s="6" t="s">
        <v>9</v>
      </c>
      <c r="L7" s="6"/>
      <c r="M7" s="1"/>
      <c r="N7" s="6" t="s">
        <v>10</v>
      </c>
      <c r="O7" s="6"/>
      <c r="P7" s="1"/>
      <c r="Q7" s="1"/>
    </row>
    <row r="8" customFormat="false" ht="19.5" hidden="false" customHeight="true" outlineLevel="0" collapsed="false">
      <c r="A8" s="1"/>
      <c r="B8" s="7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SUMIFS(Transactions!$I$2:$I$122,Transactions!$E$2:$E$122,IF(Dashboard!$B$5="All","&lt;&gt;",Dashboard!$B$5),Transactions!$G$2:$G$122,IF(Dashboard!$E$5="All","&lt;&gt;",Dashboard!$E$5),Transactions!$J$2:$J$122,IF(Dashboard!$H$5="All","&lt;&gt;",Dashboard!$H$5))</f>
        <v>4506.53</v>
      </c>
      <c r="C8" s="7"/>
      <c r="D8" s="1"/>
      <c r="E8" s="7" t="n">
        <f aca="false">IFERROR(B8/COUNTIF(Summary_Tables!$F$2:$F$5,"&gt;0"),0)</f>
        <v>1126.6325</v>
      </c>
      <c r="F8" s="7"/>
      <c r="G8" s="1"/>
      <c r="H8" s="8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COUNTIFS(Transactions!$B$2:$B$122,"&lt;&gt;",Transactions!$E$2:$E$122,IF(Dashboard!$B$5="All","&lt;&gt;",Dashboard!$B$5),Transactions!$G$2:$G$122,IF(Dashboard!$E$5="All","&lt;&gt;",Dashboard!$E$5),Transactions!$J$2:$J$122,IF(Dashboard!$H$5="All","&lt;&gt;",Dashboard!$H$5))</f>
        <v>121</v>
      </c>
      <c r="I8" s="8"/>
      <c r="J8" s="1"/>
      <c r="K8" s="9" t="str">
        <f aca="false">INDEX(Summary_Tables!$A$2:$A$16,MATCH(MAX(Summary_Tables!$B$2:$B$16),Summary_Tables!$B$2:$B$16,0))</f>
        <v>Shopping</v>
      </c>
      <c r="L8" s="9"/>
      <c r="M8" s="1"/>
      <c r="N8" s="7" t="n">
        <f aca="false">IFERROR(B8/H8,0)</f>
        <v>37.2440495867769</v>
      </c>
      <c r="O8" s="7"/>
      <c r="P8" s="1"/>
      <c r="Q8" s="1"/>
    </row>
    <row r="9" customFormat="false" ht="19.5" hidden="false" customHeight="true" outlineLevel="0" collapsed="false">
      <c r="A9" s="1"/>
      <c r="B9" s="7"/>
      <c r="C9" s="7"/>
      <c r="D9" s="1"/>
      <c r="E9" s="7"/>
      <c r="F9" s="7"/>
      <c r="G9" s="1"/>
      <c r="H9" s="8"/>
      <c r="I9" s="8"/>
      <c r="J9" s="1"/>
      <c r="K9" s="9"/>
      <c r="L9" s="9"/>
      <c r="M9" s="1"/>
      <c r="N9" s="7"/>
      <c r="O9" s="7"/>
      <c r="P9" s="1"/>
      <c r="Q9" s="1"/>
    </row>
    <row r="10" customFormat="false" ht="19.5" hidden="false" customHeight="true" outlineLevel="0" collapsed="false">
      <c r="A10" s="1"/>
      <c r="B10" s="7"/>
      <c r="C10" s="7"/>
      <c r="D10" s="1"/>
      <c r="E10" s="7"/>
      <c r="F10" s="7"/>
      <c r="G10" s="1"/>
      <c r="H10" s="8"/>
      <c r="I10" s="8"/>
      <c r="J10" s="1"/>
      <c r="K10" s="9"/>
      <c r="L10" s="9"/>
      <c r="M10" s="1"/>
      <c r="N10" s="7"/>
      <c r="O10" s="7"/>
      <c r="P10" s="1"/>
      <c r="Q10" s="1"/>
    </row>
    <row r="11" customFormat="false" ht="7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.75" hidden="false" customHeight="true" outlineLevel="0" collapsed="false">
      <c r="A12" s="1"/>
      <c r="B12" s="10" t="s">
        <v>11</v>
      </c>
      <c r="C12" s="1"/>
      <c r="D12" s="1"/>
      <c r="E12" s="1"/>
      <c r="F12" s="1"/>
      <c r="G12" s="1"/>
      <c r="H12" s="10" t="s">
        <v>12</v>
      </c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.75" hidden="false" customHeight="true" outlineLevel="0" collapsed="false">
      <c r="A25" s="1"/>
      <c r="B25" s="10" t="s">
        <v>13</v>
      </c>
      <c r="C25" s="1"/>
      <c r="D25" s="1"/>
      <c r="E25" s="1"/>
      <c r="F25" s="1"/>
      <c r="G25" s="1"/>
      <c r="H25" s="10" t="s">
        <v>4</v>
      </c>
      <c r="I25" s="1"/>
      <c r="J25" s="1"/>
      <c r="K25" s="1"/>
      <c r="L25" s="10" t="s">
        <v>14</v>
      </c>
      <c r="M25" s="1"/>
      <c r="N25" s="1"/>
      <c r="O25" s="1"/>
      <c r="P25" s="1"/>
      <c r="Q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21.75" hidden="false" customHeight="true" outlineLevel="0" collapsed="false">
      <c r="A39" s="1"/>
      <c r="B39" s="11" t="s">
        <v>15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"/>
      <c r="Q39" s="1"/>
    </row>
    <row r="40" customFormat="false" ht="21.75" hidden="false" customHeight="true" outlineLevel="0" collapsed="false">
      <c r="A40" s="1"/>
      <c r="B40" s="12" t="s">
        <v>16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"/>
      <c r="Q40" s="1"/>
    </row>
    <row r="41" customFormat="false" ht="21.75" hidden="false" customHeight="true" outlineLevel="0" collapsed="false">
      <c r="A41" s="1"/>
      <c r="B41" s="12" t="s">
        <v>17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"/>
      <c r="Q41" s="1"/>
    </row>
    <row r="42" customFormat="false" ht="21.75" hidden="false" customHeight="true" outlineLevel="0" collapsed="false">
      <c r="A42" s="1"/>
      <c r="B42" s="12" t="s">
        <v>18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"/>
      <c r="Q42" s="1"/>
    </row>
    <row r="43" customFormat="false" ht="21.75" hidden="false" customHeight="true" outlineLevel="0" collapsed="false">
      <c r="A43" s="1"/>
      <c r="B43" s="12" t="s">
        <v>19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"/>
      <c r="Q43" s="1"/>
    </row>
    <row r="44" customFormat="false" ht="21.75" hidden="false" customHeight="true" outlineLevel="0" collapsed="false">
      <c r="A44" s="1"/>
      <c r="B44" s="12" t="s">
        <v>20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"/>
      <c r="Q44" s="1"/>
    </row>
    <row r="45" customFormat="false" ht="21.75" hidden="false" customHeight="true" outlineLevel="0" collapsed="false">
      <c r="A45" s="1"/>
      <c r="B45" s="12" t="s">
        <v>21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25">
    <mergeCell ref="B1:O2"/>
    <mergeCell ref="B3:O3"/>
    <mergeCell ref="B4:C4"/>
    <mergeCell ref="E4:F4"/>
    <mergeCell ref="H4:I4"/>
    <mergeCell ref="B5:C5"/>
    <mergeCell ref="E5:F5"/>
    <mergeCell ref="H5:I5"/>
    <mergeCell ref="B7:C7"/>
    <mergeCell ref="E7:F7"/>
    <mergeCell ref="H7:I7"/>
    <mergeCell ref="K7:L7"/>
    <mergeCell ref="N7:O7"/>
    <mergeCell ref="B8:C10"/>
    <mergeCell ref="E8:F10"/>
    <mergeCell ref="H8:I10"/>
    <mergeCell ref="K8:L10"/>
    <mergeCell ref="N8:O10"/>
    <mergeCell ref="B39:O39"/>
    <mergeCell ref="B40:O40"/>
    <mergeCell ref="B41:O41"/>
    <mergeCell ref="B42:O42"/>
    <mergeCell ref="B43:O43"/>
    <mergeCell ref="B44:O44"/>
    <mergeCell ref="B45:O45"/>
  </mergeCells>
  <dataValidations count="3">
    <dataValidation allowBlank="true" error="Pick a value from the list" errorStyle="stop" operator="between" prompt="Click the arrow to filter" showDropDown="false" showErrorMessage="false" showInputMessage="false" sqref="B5" type="list">
      <formula1>"All,2025-12,2026-01,2026-02,2026-03"</formula1>
      <formula2>0</formula2>
    </dataValidation>
    <dataValidation allowBlank="true" error="Pick a value from the list" errorStyle="stop" operator="between" prompt="Click the arrow to filter" showDropDown="false" showErrorMessage="false" showInputMessage="false" sqref="E5" type="list">
      <formula1>"All,Shopping,Restaurants,Groceries,Government,Utilities,Subscriptions,Entertainment,Gasoline,Fines/Legal,Transport,Coffee,Services,Personal Care,Housing,Office Supplies"</formula1>
      <formula2>0</formula2>
    </dataValidation>
    <dataValidation allowBlank="true" error="Pick a value from the list" errorStyle="stop" operator="between" prompt="Click the arrow to filter" showDropDown="false" showErrorMessage="false" showInputMessage="false" sqref="H5" type="list">
      <formula1>"All,BofA Credit,Discover Card"</formula1>
      <formula2>0</formula2>
    </dataValidation>
  </dataValidations>
  <printOptions headings="false" gridLines="false" gridLinesSet="true" horizontalCentered="true" verticalCentered="false"/>
  <pageMargins left="0.25" right="0.25" top="0.25" bottom="0.2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</row>
    <row r="2" customFormat="false" ht="15" hidden="false" customHeight="false" outlineLevel="0" collapsed="false">
      <c r="A2" s="14" t="s">
        <v>34</v>
      </c>
      <c r="B2" s="15" t="n">
        <v>46003</v>
      </c>
      <c r="C2" s="14" t="n">
        <v>2025</v>
      </c>
      <c r="D2" s="14" t="n">
        <v>12</v>
      </c>
      <c r="E2" s="14" t="s">
        <v>35</v>
      </c>
      <c r="F2" s="14" t="s">
        <v>36</v>
      </c>
      <c r="G2" s="14" t="s">
        <v>37</v>
      </c>
      <c r="H2" s="14" t="s">
        <v>38</v>
      </c>
      <c r="I2" s="16" t="n">
        <v>105</v>
      </c>
      <c r="J2" s="14" t="s">
        <v>39</v>
      </c>
      <c r="K2" s="14" t="s">
        <v>40</v>
      </c>
      <c r="L2" s="14" t="s">
        <v>41</v>
      </c>
    </row>
    <row r="3" customFormat="false" ht="15" hidden="false" customHeight="false" outlineLevel="0" collapsed="false">
      <c r="A3" s="1" t="s">
        <v>42</v>
      </c>
      <c r="B3" s="17" t="n">
        <v>46015</v>
      </c>
      <c r="C3" s="1" t="n">
        <v>2025</v>
      </c>
      <c r="D3" s="1" t="n">
        <v>12</v>
      </c>
      <c r="E3" s="1" t="s">
        <v>35</v>
      </c>
      <c r="F3" s="1" t="s">
        <v>43</v>
      </c>
      <c r="G3" s="1" t="s">
        <v>44</v>
      </c>
      <c r="H3" s="1" t="s">
        <v>44</v>
      </c>
      <c r="I3" s="18" t="n">
        <v>78.07</v>
      </c>
      <c r="J3" s="1" t="s">
        <v>39</v>
      </c>
      <c r="K3" s="1" t="s">
        <v>45</v>
      </c>
      <c r="L3" s="1" t="s">
        <v>41</v>
      </c>
    </row>
    <row r="4" customFormat="false" ht="15" hidden="false" customHeight="false" outlineLevel="0" collapsed="false">
      <c r="A4" s="14" t="s">
        <v>46</v>
      </c>
      <c r="B4" s="15" t="n">
        <v>46019</v>
      </c>
      <c r="C4" s="14" t="n">
        <v>2025</v>
      </c>
      <c r="D4" s="14" t="n">
        <v>12</v>
      </c>
      <c r="E4" s="14" t="s">
        <v>35</v>
      </c>
      <c r="F4" s="14" t="s">
        <v>47</v>
      </c>
      <c r="G4" s="14" t="s">
        <v>37</v>
      </c>
      <c r="H4" s="14" t="s">
        <v>38</v>
      </c>
      <c r="I4" s="16" t="n">
        <v>165</v>
      </c>
      <c r="J4" s="14" t="s">
        <v>39</v>
      </c>
      <c r="K4" s="14" t="s">
        <v>48</v>
      </c>
      <c r="L4" s="14" t="s">
        <v>41</v>
      </c>
    </row>
    <row r="5" customFormat="false" ht="15" hidden="false" customHeight="false" outlineLevel="0" collapsed="false">
      <c r="A5" s="1" t="s">
        <v>49</v>
      </c>
      <c r="B5" s="17" t="n">
        <v>46021</v>
      </c>
      <c r="C5" s="1" t="n">
        <v>2025</v>
      </c>
      <c r="D5" s="1" t="n">
        <v>12</v>
      </c>
      <c r="E5" s="1" t="s">
        <v>35</v>
      </c>
      <c r="F5" s="1" t="s">
        <v>50</v>
      </c>
      <c r="G5" s="1" t="s">
        <v>44</v>
      </c>
      <c r="H5" s="1" t="s">
        <v>44</v>
      </c>
      <c r="I5" s="18" t="n">
        <v>7.74</v>
      </c>
      <c r="J5" s="1" t="s">
        <v>39</v>
      </c>
      <c r="K5" s="1" t="s">
        <v>51</v>
      </c>
      <c r="L5" s="1" t="s">
        <v>41</v>
      </c>
    </row>
    <row r="6" customFormat="false" ht="15" hidden="false" customHeight="false" outlineLevel="0" collapsed="false">
      <c r="A6" s="14" t="s">
        <v>52</v>
      </c>
      <c r="B6" s="15" t="n">
        <v>46021</v>
      </c>
      <c r="C6" s="14" t="n">
        <v>2025</v>
      </c>
      <c r="D6" s="14" t="n">
        <v>12</v>
      </c>
      <c r="E6" s="14" t="s">
        <v>35</v>
      </c>
      <c r="F6" s="14" t="s">
        <v>43</v>
      </c>
      <c r="G6" s="14" t="s">
        <v>44</v>
      </c>
      <c r="H6" s="14" t="s">
        <v>44</v>
      </c>
      <c r="I6" s="16" t="n">
        <v>40.12</v>
      </c>
      <c r="J6" s="14" t="s">
        <v>39</v>
      </c>
      <c r="K6" s="14" t="s">
        <v>51</v>
      </c>
      <c r="L6" s="14" t="s">
        <v>41</v>
      </c>
    </row>
    <row r="7" customFormat="false" ht="15" hidden="false" customHeight="false" outlineLevel="0" collapsed="false">
      <c r="A7" s="1" t="s">
        <v>53</v>
      </c>
      <c r="B7" s="17" t="n">
        <v>46021</v>
      </c>
      <c r="C7" s="1" t="n">
        <v>2025</v>
      </c>
      <c r="D7" s="1" t="n">
        <v>12</v>
      </c>
      <c r="E7" s="1" t="s">
        <v>35</v>
      </c>
      <c r="F7" s="1" t="s">
        <v>43</v>
      </c>
      <c r="G7" s="1" t="s">
        <v>44</v>
      </c>
      <c r="H7" s="1" t="s">
        <v>44</v>
      </c>
      <c r="I7" s="18" t="n">
        <v>14.09</v>
      </c>
      <c r="J7" s="1" t="s">
        <v>39</v>
      </c>
      <c r="K7" s="1" t="s">
        <v>51</v>
      </c>
      <c r="L7" s="1" t="s">
        <v>41</v>
      </c>
    </row>
    <row r="8" customFormat="false" ht="15" hidden="false" customHeight="false" outlineLevel="0" collapsed="false">
      <c r="A8" s="14" t="s">
        <v>54</v>
      </c>
      <c r="B8" s="15" t="n">
        <v>46021</v>
      </c>
      <c r="C8" s="14" t="n">
        <v>2025</v>
      </c>
      <c r="D8" s="14" t="n">
        <v>12</v>
      </c>
      <c r="E8" s="14" t="s">
        <v>35</v>
      </c>
      <c r="F8" s="14" t="s">
        <v>55</v>
      </c>
      <c r="G8" s="14" t="s">
        <v>56</v>
      </c>
      <c r="H8" s="14" t="s">
        <v>57</v>
      </c>
      <c r="I8" s="16" t="n">
        <v>13.77</v>
      </c>
      <c r="J8" s="14" t="s">
        <v>39</v>
      </c>
      <c r="K8" s="14" t="s">
        <v>51</v>
      </c>
      <c r="L8" s="14" t="s">
        <v>41</v>
      </c>
    </row>
    <row r="9" customFormat="false" ht="15" hidden="false" customHeight="false" outlineLevel="0" collapsed="false">
      <c r="A9" s="1" t="s">
        <v>58</v>
      </c>
      <c r="B9" s="17" t="n">
        <v>46022</v>
      </c>
      <c r="C9" s="1" t="n">
        <v>2025</v>
      </c>
      <c r="D9" s="1" t="n">
        <v>12</v>
      </c>
      <c r="E9" s="1" t="s">
        <v>35</v>
      </c>
      <c r="F9" s="1" t="s">
        <v>59</v>
      </c>
      <c r="G9" s="1" t="s">
        <v>60</v>
      </c>
      <c r="H9" s="1" t="s">
        <v>60</v>
      </c>
      <c r="I9" s="18" t="n">
        <v>23</v>
      </c>
      <c r="J9" s="1" t="s">
        <v>61</v>
      </c>
      <c r="K9" s="1" t="s">
        <v>45</v>
      </c>
      <c r="L9" s="1" t="s">
        <v>41</v>
      </c>
    </row>
    <row r="10" customFormat="false" ht="15" hidden="false" customHeight="false" outlineLevel="0" collapsed="false">
      <c r="A10" s="14" t="s">
        <v>62</v>
      </c>
      <c r="B10" s="15" t="n">
        <v>46022</v>
      </c>
      <c r="C10" s="14" t="n">
        <v>2025</v>
      </c>
      <c r="D10" s="14" t="n">
        <v>12</v>
      </c>
      <c r="E10" s="14" t="s">
        <v>35</v>
      </c>
      <c r="F10" s="14" t="s">
        <v>63</v>
      </c>
      <c r="G10" s="14" t="s">
        <v>64</v>
      </c>
      <c r="H10" s="14" t="s">
        <v>64</v>
      </c>
      <c r="I10" s="16" t="n">
        <v>15</v>
      </c>
      <c r="J10" s="14" t="s">
        <v>61</v>
      </c>
      <c r="K10" s="14" t="s">
        <v>45</v>
      </c>
      <c r="L10" s="14" t="s">
        <v>41</v>
      </c>
    </row>
    <row r="11" customFormat="false" ht="15" hidden="false" customHeight="false" outlineLevel="0" collapsed="false">
      <c r="A11" s="1" t="s">
        <v>65</v>
      </c>
      <c r="B11" s="17" t="n">
        <v>46022</v>
      </c>
      <c r="C11" s="1" t="n">
        <v>2025</v>
      </c>
      <c r="D11" s="1" t="n">
        <v>12</v>
      </c>
      <c r="E11" s="1" t="s">
        <v>35</v>
      </c>
      <c r="F11" s="1" t="s">
        <v>66</v>
      </c>
      <c r="G11" s="1" t="s">
        <v>67</v>
      </c>
      <c r="H11" s="1" t="s">
        <v>67</v>
      </c>
      <c r="I11" s="18" t="n">
        <v>18</v>
      </c>
      <c r="J11" s="1" t="s">
        <v>61</v>
      </c>
      <c r="K11" s="1" t="s">
        <v>45</v>
      </c>
      <c r="L11" s="1" t="s">
        <v>41</v>
      </c>
    </row>
    <row r="12" customFormat="false" ht="15" hidden="false" customHeight="false" outlineLevel="0" collapsed="false">
      <c r="A12" s="14" t="s">
        <v>68</v>
      </c>
      <c r="B12" s="15" t="n">
        <v>46022</v>
      </c>
      <c r="C12" s="14" t="n">
        <v>2025</v>
      </c>
      <c r="D12" s="14" t="n">
        <v>12</v>
      </c>
      <c r="E12" s="14" t="s">
        <v>35</v>
      </c>
      <c r="F12" s="14" t="s">
        <v>69</v>
      </c>
      <c r="G12" s="14" t="s">
        <v>44</v>
      </c>
      <c r="H12" s="14" t="s">
        <v>44</v>
      </c>
      <c r="I12" s="16" t="n">
        <v>213.9</v>
      </c>
      <c r="J12" s="14" t="s">
        <v>39</v>
      </c>
      <c r="K12" s="14" t="s">
        <v>45</v>
      </c>
      <c r="L12" s="14" t="s">
        <v>41</v>
      </c>
    </row>
    <row r="13" customFormat="false" ht="15" hidden="false" customHeight="false" outlineLevel="0" collapsed="false">
      <c r="A13" s="1" t="s">
        <v>70</v>
      </c>
      <c r="B13" s="17" t="n">
        <v>46022</v>
      </c>
      <c r="C13" s="1" t="n">
        <v>2025</v>
      </c>
      <c r="D13" s="1" t="n">
        <v>12</v>
      </c>
      <c r="E13" s="1" t="s">
        <v>35</v>
      </c>
      <c r="F13" s="1" t="s">
        <v>71</v>
      </c>
      <c r="G13" s="1" t="s">
        <v>72</v>
      </c>
      <c r="H13" s="1" t="s">
        <v>72</v>
      </c>
      <c r="I13" s="18" t="n">
        <v>20</v>
      </c>
      <c r="J13" s="1" t="s">
        <v>61</v>
      </c>
      <c r="K13" s="1" t="s">
        <v>45</v>
      </c>
      <c r="L13" s="1" t="s">
        <v>41</v>
      </c>
    </row>
    <row r="14" customFormat="false" ht="15" hidden="false" customHeight="false" outlineLevel="0" collapsed="false">
      <c r="A14" s="14" t="s">
        <v>73</v>
      </c>
      <c r="B14" s="15" t="n">
        <v>46023</v>
      </c>
      <c r="C14" s="14" t="n">
        <v>2026</v>
      </c>
      <c r="D14" s="14" t="n">
        <v>1</v>
      </c>
      <c r="E14" s="14" t="s">
        <v>74</v>
      </c>
      <c r="F14" s="14" t="s">
        <v>75</v>
      </c>
      <c r="G14" s="14" t="s">
        <v>76</v>
      </c>
      <c r="H14" s="14" t="s">
        <v>77</v>
      </c>
      <c r="I14" s="16" t="n">
        <v>4</v>
      </c>
      <c r="J14" s="14" t="s">
        <v>61</v>
      </c>
      <c r="K14" s="14" t="s">
        <v>78</v>
      </c>
      <c r="L14" s="14" t="s">
        <v>41</v>
      </c>
    </row>
    <row r="15" customFormat="false" ht="15" hidden="false" customHeight="false" outlineLevel="0" collapsed="false">
      <c r="A15" s="1" t="s">
        <v>79</v>
      </c>
      <c r="B15" s="17" t="n">
        <v>46023</v>
      </c>
      <c r="C15" s="1" t="n">
        <v>2026</v>
      </c>
      <c r="D15" s="1" t="n">
        <v>1</v>
      </c>
      <c r="E15" s="1" t="s">
        <v>74</v>
      </c>
      <c r="F15" s="1" t="s">
        <v>80</v>
      </c>
      <c r="G15" s="1" t="s">
        <v>76</v>
      </c>
      <c r="H15" s="1" t="s">
        <v>81</v>
      </c>
      <c r="I15" s="18" t="n">
        <v>25.95</v>
      </c>
      <c r="J15" s="1" t="s">
        <v>61</v>
      </c>
      <c r="K15" s="1" t="s">
        <v>78</v>
      </c>
      <c r="L15" s="1" t="s">
        <v>41</v>
      </c>
    </row>
    <row r="16" customFormat="false" ht="15" hidden="false" customHeight="false" outlineLevel="0" collapsed="false">
      <c r="A16" s="14" t="s">
        <v>82</v>
      </c>
      <c r="B16" s="15" t="n">
        <v>46024</v>
      </c>
      <c r="C16" s="14" t="n">
        <v>2026</v>
      </c>
      <c r="D16" s="14" t="n">
        <v>1</v>
      </c>
      <c r="E16" s="14" t="s">
        <v>74</v>
      </c>
      <c r="F16" s="14" t="s">
        <v>83</v>
      </c>
      <c r="G16" s="14" t="s">
        <v>72</v>
      </c>
      <c r="H16" s="14" t="s">
        <v>84</v>
      </c>
      <c r="I16" s="16" t="n">
        <v>9</v>
      </c>
      <c r="J16" s="14" t="s">
        <v>61</v>
      </c>
      <c r="K16" s="14" t="s">
        <v>40</v>
      </c>
      <c r="L16" s="14" t="s">
        <v>41</v>
      </c>
    </row>
    <row r="17" customFormat="false" ht="15" hidden="false" customHeight="false" outlineLevel="0" collapsed="false">
      <c r="A17" s="1" t="s">
        <v>85</v>
      </c>
      <c r="B17" s="17" t="n">
        <v>46024</v>
      </c>
      <c r="C17" s="1" t="n">
        <v>2026</v>
      </c>
      <c r="D17" s="1" t="n">
        <v>1</v>
      </c>
      <c r="E17" s="1" t="s">
        <v>74</v>
      </c>
      <c r="F17" s="1" t="s">
        <v>86</v>
      </c>
      <c r="G17" s="1" t="s">
        <v>87</v>
      </c>
      <c r="H17" s="1" t="s">
        <v>87</v>
      </c>
      <c r="I17" s="18" t="n">
        <v>2.74</v>
      </c>
      <c r="J17" s="1" t="s">
        <v>61</v>
      </c>
      <c r="K17" s="1" t="s">
        <v>40</v>
      </c>
      <c r="L17" s="1" t="s">
        <v>41</v>
      </c>
    </row>
    <row r="18" customFormat="false" ht="15" hidden="false" customHeight="false" outlineLevel="0" collapsed="false">
      <c r="A18" s="14" t="s">
        <v>88</v>
      </c>
      <c r="B18" s="15" t="n">
        <v>46024</v>
      </c>
      <c r="C18" s="14" t="n">
        <v>2026</v>
      </c>
      <c r="D18" s="14" t="n">
        <v>1</v>
      </c>
      <c r="E18" s="14" t="s">
        <v>74</v>
      </c>
      <c r="F18" s="14" t="s">
        <v>89</v>
      </c>
      <c r="G18" s="14" t="s">
        <v>56</v>
      </c>
      <c r="H18" s="14" t="s">
        <v>56</v>
      </c>
      <c r="I18" s="16" t="n">
        <v>7.35</v>
      </c>
      <c r="J18" s="14" t="s">
        <v>61</v>
      </c>
      <c r="K18" s="14" t="s">
        <v>40</v>
      </c>
      <c r="L18" s="14" t="s">
        <v>41</v>
      </c>
    </row>
    <row r="19" customFormat="false" ht="15" hidden="false" customHeight="false" outlineLevel="0" collapsed="false">
      <c r="A19" s="1" t="s">
        <v>90</v>
      </c>
      <c r="B19" s="17" t="n">
        <v>46025</v>
      </c>
      <c r="C19" s="1" t="n">
        <v>2026</v>
      </c>
      <c r="D19" s="1" t="n">
        <v>1</v>
      </c>
      <c r="E19" s="1" t="s">
        <v>74</v>
      </c>
      <c r="F19" s="1" t="s">
        <v>43</v>
      </c>
      <c r="G19" s="1" t="s">
        <v>44</v>
      </c>
      <c r="H19" s="1" t="s">
        <v>44</v>
      </c>
      <c r="I19" s="18" t="n">
        <v>8.67</v>
      </c>
      <c r="J19" s="1" t="s">
        <v>61</v>
      </c>
      <c r="K19" s="1" t="s">
        <v>91</v>
      </c>
      <c r="L19" s="1" t="s">
        <v>41</v>
      </c>
    </row>
    <row r="20" customFormat="false" ht="15" hidden="false" customHeight="false" outlineLevel="0" collapsed="false">
      <c r="A20" s="14" t="s">
        <v>92</v>
      </c>
      <c r="B20" s="15" t="n">
        <v>46025</v>
      </c>
      <c r="C20" s="14" t="n">
        <v>2026</v>
      </c>
      <c r="D20" s="14" t="n">
        <v>1</v>
      </c>
      <c r="E20" s="14" t="s">
        <v>74</v>
      </c>
      <c r="F20" s="14" t="s">
        <v>43</v>
      </c>
      <c r="G20" s="14" t="s">
        <v>44</v>
      </c>
      <c r="H20" s="14" t="s">
        <v>44</v>
      </c>
      <c r="I20" s="16" t="n">
        <v>21.69</v>
      </c>
      <c r="J20" s="14" t="s">
        <v>61</v>
      </c>
      <c r="K20" s="14" t="s">
        <v>91</v>
      </c>
      <c r="L20" s="14" t="s">
        <v>41</v>
      </c>
    </row>
    <row r="21" customFormat="false" ht="15" hidden="false" customHeight="false" outlineLevel="0" collapsed="false">
      <c r="A21" s="1" t="s">
        <v>93</v>
      </c>
      <c r="B21" s="17" t="n">
        <v>46026</v>
      </c>
      <c r="C21" s="1" t="n">
        <v>2026</v>
      </c>
      <c r="D21" s="1" t="n">
        <v>1</v>
      </c>
      <c r="E21" s="1" t="s">
        <v>74</v>
      </c>
      <c r="F21" s="1" t="s">
        <v>94</v>
      </c>
      <c r="G21" s="1" t="s">
        <v>95</v>
      </c>
      <c r="H21" s="1" t="s">
        <v>95</v>
      </c>
      <c r="I21" s="18" t="n">
        <v>6.13</v>
      </c>
      <c r="J21" s="1" t="s">
        <v>61</v>
      </c>
      <c r="K21" s="1" t="s">
        <v>48</v>
      </c>
      <c r="L21" s="1" t="s">
        <v>41</v>
      </c>
    </row>
    <row r="22" customFormat="false" ht="15" hidden="false" customHeight="false" outlineLevel="0" collapsed="false">
      <c r="A22" s="14" t="s">
        <v>96</v>
      </c>
      <c r="B22" s="15" t="n">
        <v>46026</v>
      </c>
      <c r="C22" s="14" t="n">
        <v>2026</v>
      </c>
      <c r="D22" s="14" t="n">
        <v>1</v>
      </c>
      <c r="E22" s="14" t="s">
        <v>74</v>
      </c>
      <c r="F22" s="14" t="s">
        <v>97</v>
      </c>
      <c r="G22" s="14" t="s">
        <v>56</v>
      </c>
      <c r="H22" s="14" t="s">
        <v>56</v>
      </c>
      <c r="I22" s="16" t="n">
        <v>16.03</v>
      </c>
      <c r="J22" s="14" t="s">
        <v>61</v>
      </c>
      <c r="K22" s="14" t="s">
        <v>48</v>
      </c>
      <c r="L22" s="14" t="s">
        <v>41</v>
      </c>
    </row>
    <row r="23" customFormat="false" ht="15" hidden="false" customHeight="false" outlineLevel="0" collapsed="false">
      <c r="A23" s="1" t="s">
        <v>98</v>
      </c>
      <c r="B23" s="17" t="n">
        <v>46027</v>
      </c>
      <c r="C23" s="1" t="n">
        <v>2026</v>
      </c>
      <c r="D23" s="1" t="n">
        <v>1</v>
      </c>
      <c r="E23" s="1" t="s">
        <v>74</v>
      </c>
      <c r="F23" s="1" t="s">
        <v>99</v>
      </c>
      <c r="G23" s="1" t="s">
        <v>37</v>
      </c>
      <c r="H23" s="1" t="s">
        <v>37</v>
      </c>
      <c r="I23" s="18" t="n">
        <v>19.68</v>
      </c>
      <c r="J23" s="1" t="s">
        <v>61</v>
      </c>
      <c r="K23" s="1" t="s">
        <v>100</v>
      </c>
      <c r="L23" s="1" t="s">
        <v>41</v>
      </c>
    </row>
    <row r="24" customFormat="false" ht="15" hidden="false" customHeight="false" outlineLevel="0" collapsed="false">
      <c r="A24" s="14" t="s">
        <v>101</v>
      </c>
      <c r="B24" s="15" t="n">
        <v>46027</v>
      </c>
      <c r="C24" s="14" t="n">
        <v>2026</v>
      </c>
      <c r="D24" s="14" t="n">
        <v>1</v>
      </c>
      <c r="E24" s="14" t="s">
        <v>74</v>
      </c>
      <c r="F24" s="14" t="s">
        <v>80</v>
      </c>
      <c r="G24" s="14" t="s">
        <v>76</v>
      </c>
      <c r="H24" s="14" t="s">
        <v>81</v>
      </c>
      <c r="I24" s="16" t="n">
        <v>16.21</v>
      </c>
      <c r="J24" s="14" t="s">
        <v>61</v>
      </c>
      <c r="K24" s="14" t="s">
        <v>100</v>
      </c>
      <c r="L24" s="14" t="s">
        <v>41</v>
      </c>
    </row>
    <row r="25" customFormat="false" ht="15" hidden="false" customHeight="false" outlineLevel="0" collapsed="false">
      <c r="A25" s="1" t="s">
        <v>102</v>
      </c>
      <c r="B25" s="17" t="n">
        <v>46027</v>
      </c>
      <c r="C25" s="1" t="n">
        <v>2026</v>
      </c>
      <c r="D25" s="1" t="n">
        <v>1</v>
      </c>
      <c r="E25" s="1" t="s">
        <v>74</v>
      </c>
      <c r="F25" s="1" t="s">
        <v>103</v>
      </c>
      <c r="G25" s="1" t="s">
        <v>44</v>
      </c>
      <c r="H25" s="1" t="s">
        <v>44</v>
      </c>
      <c r="I25" s="18" t="n">
        <v>13.48</v>
      </c>
      <c r="J25" s="1" t="s">
        <v>61</v>
      </c>
      <c r="K25" s="1" t="s">
        <v>100</v>
      </c>
      <c r="L25" s="1" t="s">
        <v>41</v>
      </c>
    </row>
    <row r="26" customFormat="false" ht="15" hidden="false" customHeight="false" outlineLevel="0" collapsed="false">
      <c r="A26" s="14" t="s">
        <v>104</v>
      </c>
      <c r="B26" s="15" t="n">
        <v>46028</v>
      </c>
      <c r="C26" s="14" t="n">
        <v>2026</v>
      </c>
      <c r="D26" s="14" t="n">
        <v>1</v>
      </c>
      <c r="E26" s="14" t="s">
        <v>74</v>
      </c>
      <c r="F26" s="14" t="s">
        <v>103</v>
      </c>
      <c r="G26" s="14" t="s">
        <v>44</v>
      </c>
      <c r="H26" s="14" t="s">
        <v>44</v>
      </c>
      <c r="I26" s="16" t="n">
        <v>13.48</v>
      </c>
      <c r="J26" s="14" t="s">
        <v>61</v>
      </c>
      <c r="K26" s="14" t="s">
        <v>51</v>
      </c>
      <c r="L26" s="14" t="s">
        <v>41</v>
      </c>
    </row>
    <row r="27" customFormat="false" ht="15" hidden="false" customHeight="false" outlineLevel="0" collapsed="false">
      <c r="A27" s="1" t="s">
        <v>105</v>
      </c>
      <c r="B27" s="17" t="n">
        <v>46029</v>
      </c>
      <c r="C27" s="1" t="n">
        <v>2026</v>
      </c>
      <c r="D27" s="1" t="n">
        <v>1</v>
      </c>
      <c r="E27" s="1" t="s">
        <v>74</v>
      </c>
      <c r="F27" s="1" t="s">
        <v>106</v>
      </c>
      <c r="G27" s="1" t="s">
        <v>107</v>
      </c>
      <c r="H27" s="1" t="s">
        <v>107</v>
      </c>
      <c r="I27" s="18" t="n">
        <v>470</v>
      </c>
      <c r="J27" s="1" t="s">
        <v>61</v>
      </c>
      <c r="K27" s="1" t="s">
        <v>45</v>
      </c>
      <c r="L27" s="1" t="s">
        <v>108</v>
      </c>
    </row>
    <row r="28" customFormat="false" ht="15" hidden="false" customHeight="false" outlineLevel="0" collapsed="false">
      <c r="A28" s="14" t="s">
        <v>109</v>
      </c>
      <c r="B28" s="15" t="n">
        <v>46029</v>
      </c>
      <c r="C28" s="14" t="n">
        <v>2026</v>
      </c>
      <c r="D28" s="14" t="n">
        <v>1</v>
      </c>
      <c r="E28" s="14" t="s">
        <v>74</v>
      </c>
      <c r="F28" s="14" t="s">
        <v>86</v>
      </c>
      <c r="G28" s="14" t="s">
        <v>87</v>
      </c>
      <c r="H28" s="14" t="s">
        <v>87</v>
      </c>
      <c r="I28" s="16" t="n">
        <v>0.9</v>
      </c>
      <c r="J28" s="14" t="s">
        <v>61</v>
      </c>
      <c r="K28" s="14" t="s">
        <v>45</v>
      </c>
      <c r="L28" s="14" t="s">
        <v>41</v>
      </c>
    </row>
    <row r="29" customFormat="false" ht="15" hidden="false" customHeight="false" outlineLevel="0" collapsed="false">
      <c r="A29" s="1" t="s">
        <v>110</v>
      </c>
      <c r="B29" s="17" t="n">
        <v>46029</v>
      </c>
      <c r="C29" s="1" t="n">
        <v>2026</v>
      </c>
      <c r="D29" s="1" t="n">
        <v>1</v>
      </c>
      <c r="E29" s="1" t="s">
        <v>74</v>
      </c>
      <c r="F29" s="1" t="s">
        <v>86</v>
      </c>
      <c r="G29" s="1" t="s">
        <v>87</v>
      </c>
      <c r="H29" s="1" t="s">
        <v>87</v>
      </c>
      <c r="I29" s="18" t="n">
        <v>0.6</v>
      </c>
      <c r="J29" s="1" t="s">
        <v>61</v>
      </c>
      <c r="K29" s="1" t="s">
        <v>45</v>
      </c>
      <c r="L29" s="1" t="s">
        <v>41</v>
      </c>
    </row>
    <row r="30" customFormat="false" ht="15" hidden="false" customHeight="false" outlineLevel="0" collapsed="false">
      <c r="A30" s="14" t="s">
        <v>111</v>
      </c>
      <c r="B30" s="15" t="n">
        <v>46029</v>
      </c>
      <c r="C30" s="14" t="n">
        <v>2026</v>
      </c>
      <c r="D30" s="14" t="n">
        <v>1</v>
      </c>
      <c r="E30" s="14" t="s">
        <v>74</v>
      </c>
      <c r="F30" s="14" t="s">
        <v>86</v>
      </c>
      <c r="G30" s="14" t="s">
        <v>87</v>
      </c>
      <c r="H30" s="14" t="s">
        <v>87</v>
      </c>
      <c r="I30" s="16" t="n">
        <v>0.6</v>
      </c>
      <c r="J30" s="14" t="s">
        <v>61</v>
      </c>
      <c r="K30" s="14" t="s">
        <v>45</v>
      </c>
      <c r="L30" s="14" t="s">
        <v>41</v>
      </c>
    </row>
    <row r="31" customFormat="false" ht="15" hidden="false" customHeight="false" outlineLevel="0" collapsed="false">
      <c r="A31" s="1" t="s">
        <v>112</v>
      </c>
      <c r="B31" s="17" t="n">
        <v>46029</v>
      </c>
      <c r="C31" s="1" t="n">
        <v>2026</v>
      </c>
      <c r="D31" s="1" t="n">
        <v>1</v>
      </c>
      <c r="E31" s="1" t="s">
        <v>74</v>
      </c>
      <c r="F31" s="1" t="s">
        <v>86</v>
      </c>
      <c r="G31" s="1" t="s">
        <v>87</v>
      </c>
      <c r="H31" s="1" t="s">
        <v>87</v>
      </c>
      <c r="I31" s="18" t="n">
        <v>0.6</v>
      </c>
      <c r="J31" s="1" t="s">
        <v>61</v>
      </c>
      <c r="K31" s="1" t="s">
        <v>45</v>
      </c>
      <c r="L31" s="1" t="s">
        <v>41</v>
      </c>
    </row>
    <row r="32" customFormat="false" ht="15" hidden="false" customHeight="false" outlineLevel="0" collapsed="false">
      <c r="A32" s="14" t="s">
        <v>113</v>
      </c>
      <c r="B32" s="15" t="n">
        <v>46029</v>
      </c>
      <c r="C32" s="14" t="n">
        <v>2026</v>
      </c>
      <c r="D32" s="14" t="n">
        <v>1</v>
      </c>
      <c r="E32" s="14" t="s">
        <v>74</v>
      </c>
      <c r="F32" s="14" t="s">
        <v>86</v>
      </c>
      <c r="G32" s="14" t="s">
        <v>87</v>
      </c>
      <c r="H32" s="14" t="s">
        <v>87</v>
      </c>
      <c r="I32" s="16" t="n">
        <v>1.8</v>
      </c>
      <c r="J32" s="14" t="s">
        <v>61</v>
      </c>
      <c r="K32" s="14" t="s">
        <v>45</v>
      </c>
      <c r="L32" s="14" t="s">
        <v>41</v>
      </c>
    </row>
    <row r="33" customFormat="false" ht="15" hidden="false" customHeight="false" outlineLevel="0" collapsed="false">
      <c r="A33" s="1" t="s">
        <v>114</v>
      </c>
      <c r="B33" s="17" t="n">
        <v>46030</v>
      </c>
      <c r="C33" s="1" t="n">
        <v>2026</v>
      </c>
      <c r="D33" s="1" t="n">
        <v>1</v>
      </c>
      <c r="E33" s="1" t="s">
        <v>74</v>
      </c>
      <c r="F33" s="1" t="s">
        <v>115</v>
      </c>
      <c r="G33" s="1" t="s">
        <v>72</v>
      </c>
      <c r="H33" s="1" t="s">
        <v>84</v>
      </c>
      <c r="I33" s="18" t="n">
        <v>1.95</v>
      </c>
      <c r="J33" s="1" t="s">
        <v>61</v>
      </c>
      <c r="K33" s="1" t="s">
        <v>78</v>
      </c>
      <c r="L33" s="1" t="s">
        <v>41</v>
      </c>
    </row>
    <row r="34" customFormat="false" ht="15" hidden="false" customHeight="false" outlineLevel="0" collapsed="false">
      <c r="A34" s="14" t="s">
        <v>116</v>
      </c>
      <c r="B34" s="15" t="n">
        <v>46030</v>
      </c>
      <c r="C34" s="14" t="n">
        <v>2026</v>
      </c>
      <c r="D34" s="14" t="n">
        <v>1</v>
      </c>
      <c r="E34" s="14" t="s">
        <v>74</v>
      </c>
      <c r="F34" s="14" t="s">
        <v>43</v>
      </c>
      <c r="G34" s="14" t="s">
        <v>44</v>
      </c>
      <c r="H34" s="14" t="s">
        <v>44</v>
      </c>
      <c r="I34" s="16" t="n">
        <v>2.16</v>
      </c>
      <c r="J34" s="14" t="s">
        <v>61</v>
      </c>
      <c r="K34" s="14" t="s">
        <v>78</v>
      </c>
      <c r="L34" s="14" t="s">
        <v>41</v>
      </c>
    </row>
    <row r="35" customFormat="false" ht="15" hidden="false" customHeight="false" outlineLevel="0" collapsed="false">
      <c r="A35" s="1" t="s">
        <v>117</v>
      </c>
      <c r="B35" s="17" t="n">
        <v>46032</v>
      </c>
      <c r="C35" s="1" t="n">
        <v>2026</v>
      </c>
      <c r="D35" s="1" t="n">
        <v>1</v>
      </c>
      <c r="E35" s="1" t="s">
        <v>74</v>
      </c>
      <c r="F35" s="1" t="s">
        <v>118</v>
      </c>
      <c r="G35" s="1" t="s">
        <v>119</v>
      </c>
      <c r="H35" s="1" t="s">
        <v>119</v>
      </c>
      <c r="I35" s="18" t="n">
        <v>251.51</v>
      </c>
      <c r="J35" s="1" t="s">
        <v>61</v>
      </c>
      <c r="K35" s="1" t="s">
        <v>91</v>
      </c>
      <c r="L35" s="1" t="s">
        <v>108</v>
      </c>
    </row>
    <row r="36" customFormat="false" ht="15" hidden="false" customHeight="false" outlineLevel="0" collapsed="false">
      <c r="A36" s="14" t="s">
        <v>120</v>
      </c>
      <c r="B36" s="15" t="n">
        <v>46034</v>
      </c>
      <c r="C36" s="14" t="n">
        <v>2026</v>
      </c>
      <c r="D36" s="14" t="n">
        <v>1</v>
      </c>
      <c r="E36" s="14" t="s">
        <v>74</v>
      </c>
      <c r="F36" s="14" t="s">
        <v>121</v>
      </c>
      <c r="G36" s="14" t="s">
        <v>76</v>
      </c>
      <c r="H36" s="14" t="s">
        <v>76</v>
      </c>
      <c r="I36" s="16" t="n">
        <v>23.37</v>
      </c>
      <c r="J36" s="14" t="s">
        <v>39</v>
      </c>
      <c r="K36" s="14" t="s">
        <v>100</v>
      </c>
      <c r="L36" s="14" t="s">
        <v>41</v>
      </c>
    </row>
    <row r="37" customFormat="false" ht="15" hidden="false" customHeight="false" outlineLevel="0" collapsed="false">
      <c r="A37" s="1" t="s">
        <v>122</v>
      </c>
      <c r="B37" s="17" t="n">
        <v>46035</v>
      </c>
      <c r="C37" s="1" t="n">
        <v>2026</v>
      </c>
      <c r="D37" s="1" t="n">
        <v>1</v>
      </c>
      <c r="E37" s="1" t="s">
        <v>74</v>
      </c>
      <c r="F37" s="1" t="s">
        <v>123</v>
      </c>
      <c r="G37" s="1" t="s">
        <v>37</v>
      </c>
      <c r="H37" s="1" t="s">
        <v>37</v>
      </c>
      <c r="I37" s="18" t="n">
        <v>25</v>
      </c>
      <c r="J37" s="1" t="s">
        <v>61</v>
      </c>
      <c r="K37" s="1" t="s">
        <v>51</v>
      </c>
      <c r="L37" s="1" t="s">
        <v>41</v>
      </c>
    </row>
    <row r="38" customFormat="false" ht="15" hidden="false" customHeight="false" outlineLevel="0" collapsed="false">
      <c r="A38" s="14" t="s">
        <v>124</v>
      </c>
      <c r="B38" s="15" t="n">
        <v>46035</v>
      </c>
      <c r="C38" s="14" t="n">
        <v>2026</v>
      </c>
      <c r="D38" s="14" t="n">
        <v>1</v>
      </c>
      <c r="E38" s="14" t="s">
        <v>74</v>
      </c>
      <c r="F38" s="14" t="s">
        <v>125</v>
      </c>
      <c r="G38" s="14" t="s">
        <v>44</v>
      </c>
      <c r="H38" s="14" t="s">
        <v>44</v>
      </c>
      <c r="I38" s="16" t="n">
        <v>18.4</v>
      </c>
      <c r="J38" s="14" t="s">
        <v>61</v>
      </c>
      <c r="K38" s="14" t="s">
        <v>51</v>
      </c>
      <c r="L38" s="14" t="s">
        <v>41</v>
      </c>
    </row>
    <row r="39" customFormat="false" ht="15" hidden="false" customHeight="false" outlineLevel="0" collapsed="false">
      <c r="A39" s="1" t="s">
        <v>126</v>
      </c>
      <c r="B39" s="17" t="n">
        <v>46035</v>
      </c>
      <c r="C39" s="1" t="n">
        <v>2026</v>
      </c>
      <c r="D39" s="1" t="n">
        <v>1</v>
      </c>
      <c r="E39" s="1" t="s">
        <v>74</v>
      </c>
      <c r="F39" s="1" t="s">
        <v>127</v>
      </c>
      <c r="G39" s="1" t="s">
        <v>67</v>
      </c>
      <c r="H39" s="1" t="s">
        <v>67</v>
      </c>
      <c r="I39" s="18" t="n">
        <v>3</v>
      </c>
      <c r="J39" s="1" t="s">
        <v>61</v>
      </c>
      <c r="K39" s="1" t="s">
        <v>51</v>
      </c>
      <c r="L39" s="1" t="s">
        <v>41</v>
      </c>
    </row>
    <row r="40" customFormat="false" ht="15" hidden="false" customHeight="false" outlineLevel="0" collapsed="false">
      <c r="A40" s="14" t="s">
        <v>128</v>
      </c>
      <c r="B40" s="15" t="n">
        <v>46035</v>
      </c>
      <c r="C40" s="14" t="n">
        <v>2026</v>
      </c>
      <c r="D40" s="14" t="n">
        <v>1</v>
      </c>
      <c r="E40" s="14" t="s">
        <v>74</v>
      </c>
      <c r="F40" s="14" t="s">
        <v>127</v>
      </c>
      <c r="G40" s="14" t="s">
        <v>67</v>
      </c>
      <c r="H40" s="14" t="s">
        <v>67</v>
      </c>
      <c r="I40" s="16" t="n">
        <v>3</v>
      </c>
      <c r="J40" s="14" t="s">
        <v>61</v>
      </c>
      <c r="K40" s="14" t="s">
        <v>51</v>
      </c>
      <c r="L40" s="14" t="s">
        <v>41</v>
      </c>
    </row>
    <row r="41" customFormat="false" ht="15" hidden="false" customHeight="false" outlineLevel="0" collapsed="false">
      <c r="A41" s="1" t="s">
        <v>129</v>
      </c>
      <c r="B41" s="17" t="n">
        <v>46035</v>
      </c>
      <c r="C41" s="1" t="n">
        <v>2026</v>
      </c>
      <c r="D41" s="1" t="n">
        <v>1</v>
      </c>
      <c r="E41" s="1" t="s">
        <v>74</v>
      </c>
      <c r="F41" s="1" t="s">
        <v>127</v>
      </c>
      <c r="G41" s="1" t="s">
        <v>67</v>
      </c>
      <c r="H41" s="1" t="s">
        <v>67</v>
      </c>
      <c r="I41" s="18" t="n">
        <v>3</v>
      </c>
      <c r="J41" s="1" t="s">
        <v>61</v>
      </c>
      <c r="K41" s="1" t="s">
        <v>51</v>
      </c>
      <c r="L41" s="1" t="s">
        <v>41</v>
      </c>
    </row>
    <row r="42" customFormat="false" ht="15" hidden="false" customHeight="false" outlineLevel="0" collapsed="false">
      <c r="A42" s="14" t="s">
        <v>130</v>
      </c>
      <c r="B42" s="15" t="n">
        <v>46035</v>
      </c>
      <c r="C42" s="14" t="n">
        <v>2026</v>
      </c>
      <c r="D42" s="14" t="n">
        <v>1</v>
      </c>
      <c r="E42" s="14" t="s">
        <v>74</v>
      </c>
      <c r="F42" s="14" t="s">
        <v>118</v>
      </c>
      <c r="G42" s="14" t="s">
        <v>119</v>
      </c>
      <c r="H42" s="14" t="s">
        <v>119</v>
      </c>
      <c r="I42" s="16" t="n">
        <v>10.89</v>
      </c>
      <c r="J42" s="14" t="s">
        <v>61</v>
      </c>
      <c r="K42" s="14" t="s">
        <v>51</v>
      </c>
      <c r="L42" s="14" t="s">
        <v>108</v>
      </c>
    </row>
    <row r="43" customFormat="false" ht="15" hidden="false" customHeight="false" outlineLevel="0" collapsed="false">
      <c r="A43" s="1" t="s">
        <v>131</v>
      </c>
      <c r="B43" s="17" t="n">
        <v>46035</v>
      </c>
      <c r="C43" s="1" t="n">
        <v>2026</v>
      </c>
      <c r="D43" s="1" t="n">
        <v>1</v>
      </c>
      <c r="E43" s="1" t="s">
        <v>74</v>
      </c>
      <c r="F43" s="1" t="s">
        <v>132</v>
      </c>
      <c r="G43" s="1" t="s">
        <v>95</v>
      </c>
      <c r="H43" s="1" t="s">
        <v>95</v>
      </c>
      <c r="I43" s="18" t="n">
        <v>26.53</v>
      </c>
      <c r="J43" s="1" t="s">
        <v>61</v>
      </c>
      <c r="K43" s="1" t="s">
        <v>51</v>
      </c>
      <c r="L43" s="1" t="s">
        <v>41</v>
      </c>
    </row>
    <row r="44" customFormat="false" ht="15" hidden="false" customHeight="false" outlineLevel="0" collapsed="false">
      <c r="A44" s="14" t="s">
        <v>133</v>
      </c>
      <c r="B44" s="15" t="n">
        <v>46035</v>
      </c>
      <c r="C44" s="14" t="n">
        <v>2026</v>
      </c>
      <c r="D44" s="14" t="n">
        <v>1</v>
      </c>
      <c r="E44" s="14" t="s">
        <v>74</v>
      </c>
      <c r="F44" s="14" t="s">
        <v>132</v>
      </c>
      <c r="G44" s="14" t="s">
        <v>95</v>
      </c>
      <c r="H44" s="14" t="s">
        <v>95</v>
      </c>
      <c r="I44" s="16" t="n">
        <v>7.02</v>
      </c>
      <c r="J44" s="14" t="s">
        <v>61</v>
      </c>
      <c r="K44" s="14" t="s">
        <v>51</v>
      </c>
      <c r="L44" s="14" t="s">
        <v>41</v>
      </c>
    </row>
    <row r="45" customFormat="false" ht="15" hidden="false" customHeight="false" outlineLevel="0" collapsed="false">
      <c r="A45" s="1" t="s">
        <v>134</v>
      </c>
      <c r="B45" s="17" t="n">
        <v>46035</v>
      </c>
      <c r="C45" s="1" t="n">
        <v>2026</v>
      </c>
      <c r="D45" s="1" t="n">
        <v>1</v>
      </c>
      <c r="E45" s="1" t="s">
        <v>74</v>
      </c>
      <c r="F45" s="1" t="s">
        <v>127</v>
      </c>
      <c r="G45" s="1" t="s">
        <v>67</v>
      </c>
      <c r="H45" s="1" t="s">
        <v>67</v>
      </c>
      <c r="I45" s="18" t="n">
        <v>3</v>
      </c>
      <c r="J45" s="1" t="s">
        <v>61</v>
      </c>
      <c r="K45" s="1" t="s">
        <v>51</v>
      </c>
      <c r="L45" s="1" t="s">
        <v>41</v>
      </c>
    </row>
    <row r="46" customFormat="false" ht="15" hidden="false" customHeight="false" outlineLevel="0" collapsed="false">
      <c r="A46" s="14" t="s">
        <v>135</v>
      </c>
      <c r="B46" s="15" t="n">
        <v>46036</v>
      </c>
      <c r="C46" s="14" t="n">
        <v>2026</v>
      </c>
      <c r="D46" s="14" t="n">
        <v>1</v>
      </c>
      <c r="E46" s="14" t="s">
        <v>74</v>
      </c>
      <c r="F46" s="14" t="s">
        <v>43</v>
      </c>
      <c r="G46" s="14" t="s">
        <v>44</v>
      </c>
      <c r="H46" s="14" t="s">
        <v>44</v>
      </c>
      <c r="I46" s="16" t="n">
        <v>52.05</v>
      </c>
      <c r="J46" s="14" t="s">
        <v>39</v>
      </c>
      <c r="K46" s="14" t="s">
        <v>45</v>
      </c>
      <c r="L46" s="14" t="s">
        <v>41</v>
      </c>
    </row>
    <row r="47" customFormat="false" ht="15" hidden="false" customHeight="false" outlineLevel="0" collapsed="false">
      <c r="A47" s="1" t="s">
        <v>136</v>
      </c>
      <c r="B47" s="17" t="n">
        <v>46037</v>
      </c>
      <c r="C47" s="1" t="n">
        <v>2026</v>
      </c>
      <c r="D47" s="1" t="n">
        <v>1</v>
      </c>
      <c r="E47" s="1" t="s">
        <v>74</v>
      </c>
      <c r="F47" s="1" t="s">
        <v>80</v>
      </c>
      <c r="G47" s="1" t="s">
        <v>76</v>
      </c>
      <c r="H47" s="1" t="s">
        <v>81</v>
      </c>
      <c r="I47" s="18" t="n">
        <v>22.48</v>
      </c>
      <c r="J47" s="1" t="s">
        <v>61</v>
      </c>
      <c r="K47" s="1" t="s">
        <v>78</v>
      </c>
      <c r="L47" s="1" t="s">
        <v>41</v>
      </c>
    </row>
    <row r="48" customFormat="false" ht="15" hidden="false" customHeight="false" outlineLevel="0" collapsed="false">
      <c r="A48" s="14" t="s">
        <v>137</v>
      </c>
      <c r="B48" s="15" t="n">
        <v>46037</v>
      </c>
      <c r="C48" s="14" t="n">
        <v>2026</v>
      </c>
      <c r="D48" s="14" t="n">
        <v>1</v>
      </c>
      <c r="E48" s="14" t="s">
        <v>74</v>
      </c>
      <c r="F48" s="14" t="s">
        <v>138</v>
      </c>
      <c r="G48" s="14" t="s">
        <v>44</v>
      </c>
      <c r="H48" s="14" t="s">
        <v>44</v>
      </c>
      <c r="I48" s="16" t="n">
        <v>10.62</v>
      </c>
      <c r="J48" s="14" t="s">
        <v>39</v>
      </c>
      <c r="K48" s="14" t="s">
        <v>78</v>
      </c>
      <c r="L48" s="14" t="s">
        <v>41</v>
      </c>
    </row>
    <row r="49" customFormat="false" ht="15" hidden="false" customHeight="false" outlineLevel="0" collapsed="false">
      <c r="A49" s="1" t="s">
        <v>139</v>
      </c>
      <c r="B49" s="17" t="n">
        <v>46038</v>
      </c>
      <c r="C49" s="1" t="n">
        <v>2026</v>
      </c>
      <c r="D49" s="1" t="n">
        <v>1</v>
      </c>
      <c r="E49" s="1" t="s">
        <v>74</v>
      </c>
      <c r="F49" s="1" t="s">
        <v>140</v>
      </c>
      <c r="G49" s="1" t="s">
        <v>76</v>
      </c>
      <c r="H49" s="1" t="s">
        <v>76</v>
      </c>
      <c r="I49" s="18" t="n">
        <v>15.57</v>
      </c>
      <c r="J49" s="1" t="s">
        <v>39</v>
      </c>
      <c r="K49" s="1" t="s">
        <v>40</v>
      </c>
      <c r="L49" s="1" t="s">
        <v>41</v>
      </c>
    </row>
    <row r="50" customFormat="false" ht="15" hidden="false" customHeight="false" outlineLevel="0" collapsed="false">
      <c r="A50" s="14" t="s">
        <v>141</v>
      </c>
      <c r="B50" s="15" t="n">
        <v>46039</v>
      </c>
      <c r="C50" s="14" t="n">
        <v>2026</v>
      </c>
      <c r="D50" s="14" t="n">
        <v>1</v>
      </c>
      <c r="E50" s="14" t="s">
        <v>74</v>
      </c>
      <c r="F50" s="14" t="s">
        <v>142</v>
      </c>
      <c r="G50" s="14" t="s">
        <v>44</v>
      </c>
      <c r="H50" s="14" t="s">
        <v>44</v>
      </c>
      <c r="I50" s="16" t="n">
        <v>2.86</v>
      </c>
      <c r="J50" s="14" t="s">
        <v>39</v>
      </c>
      <c r="K50" s="14" t="s">
        <v>91</v>
      </c>
      <c r="L50" s="14" t="s">
        <v>41</v>
      </c>
    </row>
    <row r="51" customFormat="false" ht="15" hidden="false" customHeight="false" outlineLevel="0" collapsed="false">
      <c r="A51" s="1" t="s">
        <v>143</v>
      </c>
      <c r="B51" s="17" t="n">
        <v>46039</v>
      </c>
      <c r="C51" s="1" t="n">
        <v>2026</v>
      </c>
      <c r="D51" s="1" t="n">
        <v>1</v>
      </c>
      <c r="E51" s="1" t="s">
        <v>74</v>
      </c>
      <c r="F51" s="1" t="s">
        <v>144</v>
      </c>
      <c r="G51" s="1" t="s">
        <v>44</v>
      </c>
      <c r="H51" s="1" t="s">
        <v>44</v>
      </c>
      <c r="I51" s="18" t="n">
        <v>8.71</v>
      </c>
      <c r="J51" s="1" t="s">
        <v>39</v>
      </c>
      <c r="K51" s="1" t="s">
        <v>91</v>
      </c>
      <c r="L51" s="1" t="s">
        <v>41</v>
      </c>
    </row>
    <row r="52" customFormat="false" ht="15" hidden="false" customHeight="false" outlineLevel="0" collapsed="false">
      <c r="A52" s="14" t="s">
        <v>145</v>
      </c>
      <c r="B52" s="15" t="n">
        <v>46039</v>
      </c>
      <c r="C52" s="14" t="n">
        <v>2026</v>
      </c>
      <c r="D52" s="14" t="n">
        <v>1</v>
      </c>
      <c r="E52" s="14" t="s">
        <v>74</v>
      </c>
      <c r="F52" s="14" t="s">
        <v>146</v>
      </c>
      <c r="G52" s="14" t="s">
        <v>95</v>
      </c>
      <c r="H52" s="14" t="s">
        <v>95</v>
      </c>
      <c r="I52" s="16" t="n">
        <v>11.27</v>
      </c>
      <c r="J52" s="14" t="s">
        <v>39</v>
      </c>
      <c r="K52" s="14" t="s">
        <v>91</v>
      </c>
      <c r="L52" s="14" t="s">
        <v>41</v>
      </c>
    </row>
    <row r="53" customFormat="false" ht="15" hidden="false" customHeight="false" outlineLevel="0" collapsed="false">
      <c r="A53" s="1" t="s">
        <v>147</v>
      </c>
      <c r="B53" s="17" t="n">
        <v>46041</v>
      </c>
      <c r="C53" s="1" t="n">
        <v>2026</v>
      </c>
      <c r="D53" s="1" t="n">
        <v>1</v>
      </c>
      <c r="E53" s="1" t="s">
        <v>74</v>
      </c>
      <c r="F53" s="1" t="s">
        <v>148</v>
      </c>
      <c r="G53" s="1" t="s">
        <v>119</v>
      </c>
      <c r="H53" s="1" t="s">
        <v>119</v>
      </c>
      <c r="I53" s="18" t="n">
        <v>42</v>
      </c>
      <c r="J53" s="1" t="s">
        <v>61</v>
      </c>
      <c r="K53" s="1" t="s">
        <v>100</v>
      </c>
      <c r="L53" s="1" t="s">
        <v>41</v>
      </c>
    </row>
    <row r="54" customFormat="false" ht="15" hidden="false" customHeight="false" outlineLevel="0" collapsed="false">
      <c r="A54" s="14" t="s">
        <v>149</v>
      </c>
      <c r="B54" s="15" t="n">
        <v>46041</v>
      </c>
      <c r="C54" s="14" t="n">
        <v>2026</v>
      </c>
      <c r="D54" s="14" t="n">
        <v>1</v>
      </c>
      <c r="E54" s="14" t="s">
        <v>74</v>
      </c>
      <c r="F54" s="14" t="s">
        <v>150</v>
      </c>
      <c r="G54" s="14" t="s">
        <v>67</v>
      </c>
      <c r="H54" s="14" t="s">
        <v>67</v>
      </c>
      <c r="I54" s="16" t="n">
        <v>26</v>
      </c>
      <c r="J54" s="14" t="s">
        <v>61</v>
      </c>
      <c r="K54" s="14" t="s">
        <v>100</v>
      </c>
      <c r="L54" s="14" t="s">
        <v>41</v>
      </c>
    </row>
    <row r="55" customFormat="false" ht="15" hidden="false" customHeight="false" outlineLevel="0" collapsed="false">
      <c r="A55" s="1" t="s">
        <v>151</v>
      </c>
      <c r="B55" s="17" t="n">
        <v>46042</v>
      </c>
      <c r="C55" s="1" t="n">
        <v>2026</v>
      </c>
      <c r="D55" s="1" t="n">
        <v>1</v>
      </c>
      <c r="E55" s="1" t="s">
        <v>74</v>
      </c>
      <c r="F55" s="1" t="s">
        <v>152</v>
      </c>
      <c r="G55" s="1" t="s">
        <v>37</v>
      </c>
      <c r="H55" s="1" t="s">
        <v>37</v>
      </c>
      <c r="I55" s="18" t="n">
        <v>25</v>
      </c>
      <c r="J55" s="1" t="s">
        <v>61</v>
      </c>
      <c r="K55" s="1" t="s">
        <v>51</v>
      </c>
      <c r="L55" s="1" t="s">
        <v>41</v>
      </c>
    </row>
    <row r="56" customFormat="false" ht="15" hidden="false" customHeight="false" outlineLevel="0" collapsed="false">
      <c r="A56" s="14" t="s">
        <v>153</v>
      </c>
      <c r="B56" s="15" t="n">
        <v>46042</v>
      </c>
      <c r="C56" s="14" t="n">
        <v>2026</v>
      </c>
      <c r="D56" s="14" t="n">
        <v>1</v>
      </c>
      <c r="E56" s="14" t="s">
        <v>74</v>
      </c>
      <c r="F56" s="14" t="s">
        <v>80</v>
      </c>
      <c r="G56" s="14" t="s">
        <v>76</v>
      </c>
      <c r="H56" s="14" t="s">
        <v>81</v>
      </c>
      <c r="I56" s="16" t="n">
        <v>12.1</v>
      </c>
      <c r="J56" s="14" t="s">
        <v>61</v>
      </c>
      <c r="K56" s="14" t="s">
        <v>51</v>
      </c>
      <c r="L56" s="14" t="s">
        <v>41</v>
      </c>
    </row>
    <row r="57" customFormat="false" ht="15" hidden="false" customHeight="false" outlineLevel="0" collapsed="false">
      <c r="A57" s="1" t="s">
        <v>154</v>
      </c>
      <c r="B57" s="17" t="n">
        <v>46042</v>
      </c>
      <c r="C57" s="1" t="n">
        <v>2026</v>
      </c>
      <c r="D57" s="1" t="n">
        <v>1</v>
      </c>
      <c r="E57" s="1" t="s">
        <v>74</v>
      </c>
      <c r="F57" s="1" t="s">
        <v>155</v>
      </c>
      <c r="G57" s="1" t="s">
        <v>44</v>
      </c>
      <c r="H57" s="1" t="s">
        <v>44</v>
      </c>
      <c r="I57" s="18" t="n">
        <v>15.93</v>
      </c>
      <c r="J57" s="1" t="s">
        <v>61</v>
      </c>
      <c r="K57" s="1" t="s">
        <v>51</v>
      </c>
      <c r="L57" s="1" t="s">
        <v>41</v>
      </c>
    </row>
    <row r="58" customFormat="false" ht="15" hidden="false" customHeight="false" outlineLevel="0" collapsed="false">
      <c r="A58" s="14" t="s">
        <v>156</v>
      </c>
      <c r="B58" s="15" t="n">
        <v>46042</v>
      </c>
      <c r="C58" s="14" t="n">
        <v>2026</v>
      </c>
      <c r="D58" s="14" t="n">
        <v>1</v>
      </c>
      <c r="E58" s="14" t="s">
        <v>74</v>
      </c>
      <c r="F58" s="14" t="s">
        <v>155</v>
      </c>
      <c r="G58" s="14" t="s">
        <v>44</v>
      </c>
      <c r="H58" s="14" t="s">
        <v>44</v>
      </c>
      <c r="I58" s="16" t="n">
        <v>7.44</v>
      </c>
      <c r="J58" s="14" t="s">
        <v>61</v>
      </c>
      <c r="K58" s="14" t="s">
        <v>51</v>
      </c>
      <c r="L58" s="14" t="s">
        <v>41</v>
      </c>
    </row>
    <row r="59" customFormat="false" ht="15" hidden="false" customHeight="false" outlineLevel="0" collapsed="false">
      <c r="A59" s="1" t="s">
        <v>157</v>
      </c>
      <c r="B59" s="17" t="n">
        <v>46045</v>
      </c>
      <c r="C59" s="1" t="n">
        <v>2026</v>
      </c>
      <c r="D59" s="1" t="n">
        <v>1</v>
      </c>
      <c r="E59" s="1" t="s">
        <v>74</v>
      </c>
      <c r="F59" s="1" t="s">
        <v>97</v>
      </c>
      <c r="G59" s="1" t="s">
        <v>56</v>
      </c>
      <c r="H59" s="1" t="s">
        <v>56</v>
      </c>
      <c r="I59" s="18" t="n">
        <v>12.43</v>
      </c>
      <c r="J59" s="1" t="s">
        <v>61</v>
      </c>
      <c r="K59" s="1" t="s">
        <v>40</v>
      </c>
      <c r="L59" s="1" t="s">
        <v>41</v>
      </c>
    </row>
    <row r="60" customFormat="false" ht="15" hidden="false" customHeight="false" outlineLevel="0" collapsed="false">
      <c r="A60" s="14" t="s">
        <v>158</v>
      </c>
      <c r="B60" s="15" t="n">
        <v>46045</v>
      </c>
      <c r="C60" s="14" t="n">
        <v>2026</v>
      </c>
      <c r="D60" s="14" t="n">
        <v>1</v>
      </c>
      <c r="E60" s="14" t="s">
        <v>74</v>
      </c>
      <c r="F60" s="14" t="s">
        <v>159</v>
      </c>
      <c r="G60" s="14" t="s">
        <v>76</v>
      </c>
      <c r="H60" s="14" t="s">
        <v>76</v>
      </c>
      <c r="I60" s="16" t="n">
        <v>36.9</v>
      </c>
      <c r="J60" s="14" t="s">
        <v>39</v>
      </c>
      <c r="K60" s="14" t="s">
        <v>40</v>
      </c>
      <c r="L60" s="14" t="s">
        <v>41</v>
      </c>
    </row>
    <row r="61" customFormat="false" ht="15" hidden="false" customHeight="false" outlineLevel="0" collapsed="false">
      <c r="A61" s="1" t="s">
        <v>160</v>
      </c>
      <c r="B61" s="17" t="n">
        <v>46045</v>
      </c>
      <c r="C61" s="1" t="n">
        <v>2026</v>
      </c>
      <c r="D61" s="1" t="n">
        <v>1</v>
      </c>
      <c r="E61" s="1" t="s">
        <v>74</v>
      </c>
      <c r="F61" s="1" t="s">
        <v>97</v>
      </c>
      <c r="G61" s="1" t="s">
        <v>56</v>
      </c>
      <c r="H61" s="1" t="s">
        <v>56</v>
      </c>
      <c r="I61" s="18" t="n">
        <v>49.45</v>
      </c>
      <c r="J61" s="1" t="s">
        <v>61</v>
      </c>
      <c r="K61" s="1" t="s">
        <v>40</v>
      </c>
      <c r="L61" s="1" t="s">
        <v>41</v>
      </c>
    </row>
    <row r="62" customFormat="false" ht="15" hidden="false" customHeight="false" outlineLevel="0" collapsed="false">
      <c r="A62" s="14" t="s">
        <v>161</v>
      </c>
      <c r="B62" s="15" t="n">
        <v>46046</v>
      </c>
      <c r="C62" s="14" t="n">
        <v>2026</v>
      </c>
      <c r="D62" s="14" t="n">
        <v>1</v>
      </c>
      <c r="E62" s="14" t="s">
        <v>74</v>
      </c>
      <c r="F62" s="14" t="s">
        <v>162</v>
      </c>
      <c r="G62" s="14" t="s">
        <v>37</v>
      </c>
      <c r="H62" s="14" t="s">
        <v>37</v>
      </c>
      <c r="I62" s="16" t="n">
        <v>80</v>
      </c>
      <c r="J62" s="14" t="s">
        <v>61</v>
      </c>
      <c r="K62" s="14" t="s">
        <v>91</v>
      </c>
      <c r="L62" s="14" t="s">
        <v>41</v>
      </c>
    </row>
    <row r="63" customFormat="false" ht="15" hidden="false" customHeight="false" outlineLevel="0" collapsed="false">
      <c r="A63" s="1" t="s">
        <v>163</v>
      </c>
      <c r="B63" s="17" t="n">
        <v>46046</v>
      </c>
      <c r="C63" s="1" t="n">
        <v>2026</v>
      </c>
      <c r="D63" s="1" t="n">
        <v>1</v>
      </c>
      <c r="E63" s="1" t="s">
        <v>74</v>
      </c>
      <c r="F63" s="1" t="s">
        <v>164</v>
      </c>
      <c r="G63" s="1" t="s">
        <v>37</v>
      </c>
      <c r="H63" s="1" t="s">
        <v>37</v>
      </c>
      <c r="I63" s="18" t="n">
        <v>165</v>
      </c>
      <c r="J63" s="1" t="s">
        <v>61</v>
      </c>
      <c r="K63" s="1" t="s">
        <v>91</v>
      </c>
      <c r="L63" s="1" t="s">
        <v>108</v>
      </c>
    </row>
    <row r="64" customFormat="false" ht="15" hidden="false" customHeight="false" outlineLevel="0" collapsed="false">
      <c r="A64" s="14" t="s">
        <v>165</v>
      </c>
      <c r="B64" s="15" t="n">
        <v>46046</v>
      </c>
      <c r="C64" s="14" t="n">
        <v>2026</v>
      </c>
      <c r="D64" s="14" t="n">
        <v>1</v>
      </c>
      <c r="E64" s="14" t="s">
        <v>74</v>
      </c>
      <c r="F64" s="14" t="s">
        <v>80</v>
      </c>
      <c r="G64" s="14" t="s">
        <v>76</v>
      </c>
      <c r="H64" s="14" t="s">
        <v>76</v>
      </c>
      <c r="I64" s="16" t="n">
        <v>11.99</v>
      </c>
      <c r="J64" s="14" t="s">
        <v>39</v>
      </c>
      <c r="K64" s="14" t="s">
        <v>91</v>
      </c>
      <c r="L64" s="14" t="s">
        <v>41</v>
      </c>
    </row>
    <row r="65" customFormat="false" ht="15" hidden="false" customHeight="false" outlineLevel="0" collapsed="false">
      <c r="A65" s="1" t="s">
        <v>166</v>
      </c>
      <c r="B65" s="17" t="n">
        <v>46049</v>
      </c>
      <c r="C65" s="1" t="n">
        <v>2026</v>
      </c>
      <c r="D65" s="1" t="n">
        <v>1</v>
      </c>
      <c r="E65" s="1" t="s">
        <v>74</v>
      </c>
      <c r="F65" s="1" t="s">
        <v>43</v>
      </c>
      <c r="G65" s="1" t="s">
        <v>44</v>
      </c>
      <c r="H65" s="1" t="s">
        <v>44</v>
      </c>
      <c r="I65" s="18" t="n">
        <v>60.73</v>
      </c>
      <c r="J65" s="1" t="s">
        <v>61</v>
      </c>
      <c r="K65" s="1" t="s">
        <v>51</v>
      </c>
      <c r="L65" s="1" t="s">
        <v>41</v>
      </c>
    </row>
    <row r="66" customFormat="false" ht="15" hidden="false" customHeight="false" outlineLevel="0" collapsed="false">
      <c r="A66" s="14" t="s">
        <v>167</v>
      </c>
      <c r="B66" s="15" t="n">
        <v>46049</v>
      </c>
      <c r="C66" s="14" t="n">
        <v>2026</v>
      </c>
      <c r="D66" s="14" t="n">
        <v>1</v>
      </c>
      <c r="E66" s="14" t="s">
        <v>74</v>
      </c>
      <c r="F66" s="14" t="s">
        <v>168</v>
      </c>
      <c r="G66" s="14" t="s">
        <v>37</v>
      </c>
      <c r="H66" s="14" t="s">
        <v>37</v>
      </c>
      <c r="I66" s="16" t="n">
        <v>6.56</v>
      </c>
      <c r="J66" s="14" t="s">
        <v>61</v>
      </c>
      <c r="K66" s="14" t="s">
        <v>51</v>
      </c>
      <c r="L66" s="14" t="s">
        <v>41</v>
      </c>
    </row>
    <row r="67" customFormat="false" ht="15" hidden="false" customHeight="false" outlineLevel="0" collapsed="false">
      <c r="A67" s="1" t="s">
        <v>169</v>
      </c>
      <c r="B67" s="17" t="n">
        <v>46049</v>
      </c>
      <c r="C67" s="1" t="n">
        <v>2026</v>
      </c>
      <c r="D67" s="1" t="n">
        <v>1</v>
      </c>
      <c r="E67" s="1" t="s">
        <v>74</v>
      </c>
      <c r="F67" s="1" t="s">
        <v>170</v>
      </c>
      <c r="G67" s="1" t="s">
        <v>171</v>
      </c>
      <c r="H67" s="1" t="s">
        <v>171</v>
      </c>
      <c r="I67" s="18" t="n">
        <v>227.46</v>
      </c>
      <c r="J67" s="1" t="s">
        <v>61</v>
      </c>
      <c r="K67" s="1" t="s">
        <v>51</v>
      </c>
      <c r="L67" s="1" t="s">
        <v>108</v>
      </c>
    </row>
    <row r="68" customFormat="false" ht="15" hidden="false" customHeight="false" outlineLevel="0" collapsed="false">
      <c r="A68" s="14" t="s">
        <v>172</v>
      </c>
      <c r="B68" s="15" t="n">
        <v>46049</v>
      </c>
      <c r="C68" s="14" t="n">
        <v>2026</v>
      </c>
      <c r="D68" s="14" t="n">
        <v>1</v>
      </c>
      <c r="E68" s="14" t="s">
        <v>74</v>
      </c>
      <c r="F68" s="14" t="s">
        <v>173</v>
      </c>
      <c r="G68" s="14" t="s">
        <v>56</v>
      </c>
      <c r="H68" s="14" t="s">
        <v>56</v>
      </c>
      <c r="I68" s="16" t="n">
        <v>37.36</v>
      </c>
      <c r="J68" s="14" t="s">
        <v>61</v>
      </c>
      <c r="K68" s="14" t="s">
        <v>51</v>
      </c>
      <c r="L68" s="14" t="s">
        <v>41</v>
      </c>
    </row>
    <row r="69" customFormat="false" ht="15" hidden="false" customHeight="false" outlineLevel="0" collapsed="false">
      <c r="A69" s="1" t="s">
        <v>174</v>
      </c>
      <c r="B69" s="17" t="n">
        <v>46050</v>
      </c>
      <c r="C69" s="1" t="n">
        <v>2026</v>
      </c>
      <c r="D69" s="1" t="n">
        <v>1</v>
      </c>
      <c r="E69" s="1" t="s">
        <v>74</v>
      </c>
      <c r="F69" s="1" t="s">
        <v>175</v>
      </c>
      <c r="G69" s="1" t="s">
        <v>37</v>
      </c>
      <c r="H69" s="1" t="s">
        <v>37</v>
      </c>
      <c r="I69" s="18" t="n">
        <v>23.98</v>
      </c>
      <c r="J69" s="1" t="s">
        <v>61</v>
      </c>
      <c r="K69" s="1" t="s">
        <v>45</v>
      </c>
      <c r="L69" s="1" t="s">
        <v>41</v>
      </c>
    </row>
    <row r="70" customFormat="false" ht="15" hidden="false" customHeight="false" outlineLevel="0" collapsed="false">
      <c r="A70" s="14" t="s">
        <v>176</v>
      </c>
      <c r="B70" s="15" t="n">
        <v>46050</v>
      </c>
      <c r="C70" s="14" t="n">
        <v>2026</v>
      </c>
      <c r="D70" s="14" t="n">
        <v>1</v>
      </c>
      <c r="E70" s="14" t="s">
        <v>74</v>
      </c>
      <c r="F70" s="14" t="s">
        <v>177</v>
      </c>
      <c r="G70" s="14" t="s">
        <v>37</v>
      </c>
      <c r="H70" s="14" t="s">
        <v>37</v>
      </c>
      <c r="I70" s="16" t="n">
        <v>69.94</v>
      </c>
      <c r="J70" s="14" t="s">
        <v>61</v>
      </c>
      <c r="K70" s="14" t="s">
        <v>45</v>
      </c>
      <c r="L70" s="14" t="s">
        <v>41</v>
      </c>
    </row>
    <row r="71" customFormat="false" ht="15" hidden="false" customHeight="false" outlineLevel="0" collapsed="false">
      <c r="A71" s="1" t="s">
        <v>178</v>
      </c>
      <c r="B71" s="17" t="n">
        <v>46052</v>
      </c>
      <c r="C71" s="1" t="n">
        <v>2026</v>
      </c>
      <c r="D71" s="1" t="n">
        <v>1</v>
      </c>
      <c r="E71" s="1" t="s">
        <v>74</v>
      </c>
      <c r="F71" s="1" t="s">
        <v>179</v>
      </c>
      <c r="G71" s="1" t="s">
        <v>72</v>
      </c>
      <c r="H71" s="1" t="s">
        <v>84</v>
      </c>
      <c r="I71" s="18" t="n">
        <v>39</v>
      </c>
      <c r="J71" s="1" t="s">
        <v>61</v>
      </c>
      <c r="K71" s="1" t="s">
        <v>40</v>
      </c>
      <c r="L71" s="1" t="s">
        <v>41</v>
      </c>
    </row>
    <row r="72" customFormat="false" ht="15" hidden="false" customHeight="false" outlineLevel="0" collapsed="false">
      <c r="A72" s="14" t="s">
        <v>180</v>
      </c>
      <c r="B72" s="15" t="n">
        <v>46052</v>
      </c>
      <c r="C72" s="14" t="n">
        <v>2026</v>
      </c>
      <c r="D72" s="14" t="n">
        <v>1</v>
      </c>
      <c r="E72" s="14" t="s">
        <v>74</v>
      </c>
      <c r="F72" s="14" t="s">
        <v>80</v>
      </c>
      <c r="G72" s="14" t="s">
        <v>76</v>
      </c>
      <c r="H72" s="14" t="s">
        <v>81</v>
      </c>
      <c r="I72" s="16" t="n">
        <v>20.09</v>
      </c>
      <c r="J72" s="14" t="s">
        <v>61</v>
      </c>
      <c r="K72" s="14" t="s">
        <v>40</v>
      </c>
      <c r="L72" s="14" t="s">
        <v>41</v>
      </c>
    </row>
    <row r="73" customFormat="false" ht="15" hidden="false" customHeight="false" outlineLevel="0" collapsed="false">
      <c r="A73" s="1" t="s">
        <v>181</v>
      </c>
      <c r="B73" s="17" t="n">
        <v>46052</v>
      </c>
      <c r="C73" s="1" t="n">
        <v>2026</v>
      </c>
      <c r="D73" s="1" t="n">
        <v>1</v>
      </c>
      <c r="E73" s="1" t="s">
        <v>74</v>
      </c>
      <c r="F73" s="1" t="s">
        <v>182</v>
      </c>
      <c r="G73" s="1" t="s">
        <v>95</v>
      </c>
      <c r="H73" s="1" t="s">
        <v>95</v>
      </c>
      <c r="I73" s="18" t="n">
        <v>18.84</v>
      </c>
      <c r="J73" s="1" t="s">
        <v>61</v>
      </c>
      <c r="K73" s="1" t="s">
        <v>40</v>
      </c>
      <c r="L73" s="1" t="s">
        <v>41</v>
      </c>
    </row>
    <row r="74" customFormat="false" ht="15" hidden="false" customHeight="false" outlineLevel="0" collapsed="false">
      <c r="A74" s="14" t="s">
        <v>183</v>
      </c>
      <c r="B74" s="15" t="n">
        <v>46052</v>
      </c>
      <c r="C74" s="14" t="n">
        <v>2026</v>
      </c>
      <c r="D74" s="14" t="n">
        <v>1</v>
      </c>
      <c r="E74" s="14" t="s">
        <v>74</v>
      </c>
      <c r="F74" s="14" t="s">
        <v>103</v>
      </c>
      <c r="G74" s="14" t="s">
        <v>44</v>
      </c>
      <c r="H74" s="14" t="s">
        <v>44</v>
      </c>
      <c r="I74" s="16" t="n">
        <v>10.33</v>
      </c>
      <c r="J74" s="14" t="s">
        <v>61</v>
      </c>
      <c r="K74" s="14" t="s">
        <v>40</v>
      </c>
      <c r="L74" s="14" t="s">
        <v>41</v>
      </c>
    </row>
    <row r="75" customFormat="false" ht="15" hidden="false" customHeight="false" outlineLevel="0" collapsed="false">
      <c r="A75" s="1" t="s">
        <v>184</v>
      </c>
      <c r="B75" s="17" t="n">
        <v>46053</v>
      </c>
      <c r="C75" s="1" t="n">
        <v>2026</v>
      </c>
      <c r="D75" s="1" t="n">
        <v>1</v>
      </c>
      <c r="E75" s="1" t="s">
        <v>74</v>
      </c>
      <c r="F75" s="1" t="s">
        <v>97</v>
      </c>
      <c r="G75" s="1" t="s">
        <v>56</v>
      </c>
      <c r="H75" s="1" t="s">
        <v>56</v>
      </c>
      <c r="I75" s="18" t="n">
        <v>16.11</v>
      </c>
      <c r="J75" s="1" t="s">
        <v>61</v>
      </c>
      <c r="K75" s="1" t="s">
        <v>91</v>
      </c>
      <c r="L75" s="1" t="s">
        <v>41</v>
      </c>
    </row>
    <row r="76" customFormat="false" ht="15" hidden="false" customHeight="false" outlineLevel="0" collapsed="false">
      <c r="A76" s="14" t="s">
        <v>185</v>
      </c>
      <c r="B76" s="15" t="n">
        <v>46053</v>
      </c>
      <c r="C76" s="14" t="n">
        <v>2026</v>
      </c>
      <c r="D76" s="14" t="n">
        <v>1</v>
      </c>
      <c r="E76" s="14" t="s">
        <v>74</v>
      </c>
      <c r="F76" s="14" t="s">
        <v>97</v>
      </c>
      <c r="G76" s="14" t="s">
        <v>56</v>
      </c>
      <c r="H76" s="14" t="s">
        <v>56</v>
      </c>
      <c r="I76" s="16" t="n">
        <v>13.62</v>
      </c>
      <c r="J76" s="14" t="s">
        <v>61</v>
      </c>
      <c r="K76" s="14" t="s">
        <v>91</v>
      </c>
      <c r="L76" s="14" t="s">
        <v>41</v>
      </c>
    </row>
    <row r="77" customFormat="false" ht="15" hidden="false" customHeight="false" outlineLevel="0" collapsed="false">
      <c r="A77" s="1" t="s">
        <v>186</v>
      </c>
      <c r="B77" s="17" t="n">
        <v>46055</v>
      </c>
      <c r="C77" s="1" t="n">
        <v>2026</v>
      </c>
      <c r="D77" s="1" t="n">
        <v>2</v>
      </c>
      <c r="E77" s="1" t="s">
        <v>187</v>
      </c>
      <c r="F77" s="1" t="s">
        <v>188</v>
      </c>
      <c r="G77" s="1" t="s">
        <v>189</v>
      </c>
      <c r="H77" s="1" t="s">
        <v>189</v>
      </c>
      <c r="I77" s="18" t="n">
        <v>77.96</v>
      </c>
      <c r="J77" s="1" t="s">
        <v>39</v>
      </c>
      <c r="K77" s="1" t="s">
        <v>100</v>
      </c>
      <c r="L77" s="1" t="s">
        <v>41</v>
      </c>
    </row>
    <row r="78" customFormat="false" ht="15" hidden="false" customHeight="false" outlineLevel="0" collapsed="false">
      <c r="A78" s="14" t="s">
        <v>190</v>
      </c>
      <c r="B78" s="15" t="n">
        <v>46055</v>
      </c>
      <c r="C78" s="14" t="n">
        <v>2026</v>
      </c>
      <c r="D78" s="14" t="n">
        <v>2</v>
      </c>
      <c r="E78" s="14" t="s">
        <v>187</v>
      </c>
      <c r="F78" s="14" t="s">
        <v>191</v>
      </c>
      <c r="G78" s="14" t="s">
        <v>76</v>
      </c>
      <c r="H78" s="14" t="s">
        <v>76</v>
      </c>
      <c r="I78" s="16" t="n">
        <v>11.21</v>
      </c>
      <c r="J78" s="14" t="s">
        <v>39</v>
      </c>
      <c r="K78" s="14" t="s">
        <v>100</v>
      </c>
      <c r="L78" s="14" t="s">
        <v>41</v>
      </c>
    </row>
    <row r="79" customFormat="false" ht="15" hidden="false" customHeight="false" outlineLevel="0" collapsed="false">
      <c r="A79" s="1" t="s">
        <v>192</v>
      </c>
      <c r="B79" s="17" t="n">
        <v>46056</v>
      </c>
      <c r="C79" s="1" t="n">
        <v>2026</v>
      </c>
      <c r="D79" s="1" t="n">
        <v>2</v>
      </c>
      <c r="E79" s="1" t="s">
        <v>187</v>
      </c>
      <c r="F79" s="1" t="s">
        <v>71</v>
      </c>
      <c r="G79" s="1" t="s">
        <v>72</v>
      </c>
      <c r="H79" s="1" t="s">
        <v>72</v>
      </c>
      <c r="I79" s="18" t="n">
        <v>20</v>
      </c>
      <c r="J79" s="1" t="s">
        <v>39</v>
      </c>
      <c r="K79" s="1" t="s">
        <v>51</v>
      </c>
      <c r="L79" s="1" t="s">
        <v>41</v>
      </c>
    </row>
    <row r="80" customFormat="false" ht="15" hidden="false" customHeight="false" outlineLevel="0" collapsed="false">
      <c r="A80" s="14" t="s">
        <v>193</v>
      </c>
      <c r="B80" s="15" t="n">
        <v>46058</v>
      </c>
      <c r="C80" s="14" t="n">
        <v>2026</v>
      </c>
      <c r="D80" s="14" t="n">
        <v>2</v>
      </c>
      <c r="E80" s="14" t="s">
        <v>187</v>
      </c>
      <c r="F80" s="14" t="s">
        <v>89</v>
      </c>
      <c r="G80" s="14" t="s">
        <v>56</v>
      </c>
      <c r="H80" s="14" t="s">
        <v>56</v>
      </c>
      <c r="I80" s="16" t="n">
        <v>8.85</v>
      </c>
      <c r="J80" s="14" t="s">
        <v>39</v>
      </c>
      <c r="K80" s="14" t="s">
        <v>78</v>
      </c>
      <c r="L80" s="14" t="s">
        <v>41</v>
      </c>
    </row>
    <row r="81" customFormat="false" ht="15" hidden="false" customHeight="false" outlineLevel="0" collapsed="false">
      <c r="A81" s="1" t="s">
        <v>194</v>
      </c>
      <c r="B81" s="17" t="n">
        <v>46060</v>
      </c>
      <c r="C81" s="1" t="n">
        <v>2026</v>
      </c>
      <c r="D81" s="1" t="n">
        <v>2</v>
      </c>
      <c r="E81" s="1" t="s">
        <v>187</v>
      </c>
      <c r="F81" s="1" t="s">
        <v>142</v>
      </c>
      <c r="G81" s="1" t="s">
        <v>95</v>
      </c>
      <c r="H81" s="1" t="s">
        <v>95</v>
      </c>
      <c r="I81" s="18" t="n">
        <v>4.18</v>
      </c>
      <c r="J81" s="1" t="s">
        <v>39</v>
      </c>
      <c r="K81" s="1" t="s">
        <v>91</v>
      </c>
      <c r="L81" s="1" t="s">
        <v>41</v>
      </c>
    </row>
    <row r="82" customFormat="false" ht="15" hidden="false" customHeight="false" outlineLevel="0" collapsed="false">
      <c r="A82" s="14" t="s">
        <v>195</v>
      </c>
      <c r="B82" s="15" t="n">
        <v>46062</v>
      </c>
      <c r="C82" s="14" t="n">
        <v>2026</v>
      </c>
      <c r="D82" s="14" t="n">
        <v>2</v>
      </c>
      <c r="E82" s="14" t="s">
        <v>187</v>
      </c>
      <c r="F82" s="14" t="s">
        <v>196</v>
      </c>
      <c r="G82" s="14" t="s">
        <v>67</v>
      </c>
      <c r="H82" s="14" t="s">
        <v>67</v>
      </c>
      <c r="I82" s="16" t="n">
        <v>11.15</v>
      </c>
      <c r="J82" s="14" t="s">
        <v>61</v>
      </c>
      <c r="K82" s="14" t="s">
        <v>100</v>
      </c>
      <c r="L82" s="14" t="s">
        <v>41</v>
      </c>
    </row>
    <row r="83" customFormat="false" ht="15" hidden="false" customHeight="false" outlineLevel="0" collapsed="false">
      <c r="A83" s="1" t="s">
        <v>197</v>
      </c>
      <c r="B83" s="17" t="n">
        <v>46063</v>
      </c>
      <c r="C83" s="1" t="n">
        <v>2026</v>
      </c>
      <c r="D83" s="1" t="n">
        <v>2</v>
      </c>
      <c r="E83" s="1" t="s">
        <v>187</v>
      </c>
      <c r="F83" s="1" t="s">
        <v>173</v>
      </c>
      <c r="G83" s="1" t="s">
        <v>56</v>
      </c>
      <c r="H83" s="1" t="s">
        <v>56</v>
      </c>
      <c r="I83" s="18" t="n">
        <v>55.95</v>
      </c>
      <c r="J83" s="1" t="s">
        <v>61</v>
      </c>
      <c r="K83" s="1" t="s">
        <v>51</v>
      </c>
      <c r="L83" s="1" t="s">
        <v>41</v>
      </c>
    </row>
    <row r="84" customFormat="false" ht="15" hidden="false" customHeight="false" outlineLevel="0" collapsed="false">
      <c r="A84" s="14" t="s">
        <v>198</v>
      </c>
      <c r="B84" s="15" t="n">
        <v>46064</v>
      </c>
      <c r="C84" s="14" t="n">
        <v>2026</v>
      </c>
      <c r="D84" s="14" t="n">
        <v>2</v>
      </c>
      <c r="E84" s="14" t="s">
        <v>187</v>
      </c>
      <c r="F84" s="14" t="s">
        <v>199</v>
      </c>
      <c r="G84" s="14" t="s">
        <v>44</v>
      </c>
      <c r="H84" s="14" t="s">
        <v>44</v>
      </c>
      <c r="I84" s="16" t="n">
        <v>8.5</v>
      </c>
      <c r="J84" s="14" t="s">
        <v>39</v>
      </c>
      <c r="K84" s="14" t="s">
        <v>45</v>
      </c>
      <c r="L84" s="14" t="s">
        <v>41</v>
      </c>
    </row>
    <row r="85" customFormat="false" ht="15" hidden="false" customHeight="false" outlineLevel="0" collapsed="false">
      <c r="A85" s="1" t="s">
        <v>200</v>
      </c>
      <c r="B85" s="17" t="n">
        <v>46066</v>
      </c>
      <c r="C85" s="1" t="n">
        <v>2026</v>
      </c>
      <c r="D85" s="1" t="n">
        <v>2</v>
      </c>
      <c r="E85" s="1" t="s">
        <v>187</v>
      </c>
      <c r="F85" s="1" t="s">
        <v>196</v>
      </c>
      <c r="G85" s="1" t="s">
        <v>67</v>
      </c>
      <c r="H85" s="1" t="s">
        <v>67</v>
      </c>
      <c r="I85" s="18" t="n">
        <v>13.93</v>
      </c>
      <c r="J85" s="1" t="s">
        <v>61</v>
      </c>
      <c r="K85" s="1" t="s">
        <v>40</v>
      </c>
      <c r="L85" s="1" t="s">
        <v>41</v>
      </c>
    </row>
    <row r="86" customFormat="false" ht="15" hidden="false" customHeight="false" outlineLevel="0" collapsed="false">
      <c r="A86" s="14" t="s">
        <v>201</v>
      </c>
      <c r="B86" s="15" t="n">
        <v>46066</v>
      </c>
      <c r="C86" s="14" t="n">
        <v>2026</v>
      </c>
      <c r="D86" s="14" t="n">
        <v>2</v>
      </c>
      <c r="E86" s="14" t="s">
        <v>187</v>
      </c>
      <c r="F86" s="14" t="s">
        <v>202</v>
      </c>
      <c r="G86" s="14" t="s">
        <v>95</v>
      </c>
      <c r="H86" s="14" t="s">
        <v>95</v>
      </c>
      <c r="I86" s="16" t="n">
        <v>20.69</v>
      </c>
      <c r="J86" s="14" t="s">
        <v>61</v>
      </c>
      <c r="K86" s="14" t="s">
        <v>40</v>
      </c>
      <c r="L86" s="14" t="s">
        <v>41</v>
      </c>
    </row>
    <row r="87" customFormat="false" ht="15" hidden="false" customHeight="false" outlineLevel="0" collapsed="false">
      <c r="A87" s="1" t="s">
        <v>203</v>
      </c>
      <c r="B87" s="17" t="n">
        <v>46066</v>
      </c>
      <c r="C87" s="1" t="n">
        <v>2026</v>
      </c>
      <c r="D87" s="1" t="n">
        <v>2</v>
      </c>
      <c r="E87" s="1" t="s">
        <v>187</v>
      </c>
      <c r="F87" s="1" t="s">
        <v>86</v>
      </c>
      <c r="G87" s="1" t="s">
        <v>87</v>
      </c>
      <c r="H87" s="1" t="s">
        <v>87</v>
      </c>
      <c r="I87" s="18" t="n">
        <v>5.45</v>
      </c>
      <c r="J87" s="1" t="s">
        <v>61</v>
      </c>
      <c r="K87" s="1" t="s">
        <v>40</v>
      </c>
      <c r="L87" s="1" t="s">
        <v>41</v>
      </c>
    </row>
    <row r="88" customFormat="false" ht="15" hidden="false" customHeight="false" outlineLevel="0" collapsed="false">
      <c r="A88" s="14" t="s">
        <v>204</v>
      </c>
      <c r="B88" s="15" t="n">
        <v>46066</v>
      </c>
      <c r="C88" s="14" t="n">
        <v>2026</v>
      </c>
      <c r="D88" s="14" t="n">
        <v>2</v>
      </c>
      <c r="E88" s="14" t="s">
        <v>187</v>
      </c>
      <c r="F88" s="14" t="s">
        <v>205</v>
      </c>
      <c r="G88" s="14" t="s">
        <v>56</v>
      </c>
      <c r="H88" s="14" t="s">
        <v>56</v>
      </c>
      <c r="I88" s="16" t="n">
        <v>29.99</v>
      </c>
      <c r="J88" s="14" t="s">
        <v>61</v>
      </c>
      <c r="K88" s="14" t="s">
        <v>40</v>
      </c>
      <c r="L88" s="14" t="s">
        <v>41</v>
      </c>
    </row>
    <row r="89" customFormat="false" ht="15" hidden="false" customHeight="false" outlineLevel="0" collapsed="false">
      <c r="A89" s="1" t="s">
        <v>206</v>
      </c>
      <c r="B89" s="17" t="n">
        <v>46068</v>
      </c>
      <c r="C89" s="1" t="n">
        <v>2026</v>
      </c>
      <c r="D89" s="1" t="n">
        <v>2</v>
      </c>
      <c r="E89" s="1" t="s">
        <v>187</v>
      </c>
      <c r="F89" s="1" t="s">
        <v>173</v>
      </c>
      <c r="G89" s="1" t="s">
        <v>56</v>
      </c>
      <c r="H89" s="1" t="s">
        <v>56</v>
      </c>
      <c r="I89" s="18" t="n">
        <v>74.53</v>
      </c>
      <c r="J89" s="1" t="s">
        <v>61</v>
      </c>
      <c r="K89" s="1" t="s">
        <v>48</v>
      </c>
      <c r="L89" s="1" t="s">
        <v>41</v>
      </c>
    </row>
    <row r="90" customFormat="false" ht="15" hidden="false" customHeight="false" outlineLevel="0" collapsed="false">
      <c r="A90" s="14" t="s">
        <v>207</v>
      </c>
      <c r="B90" s="15" t="n">
        <v>46068</v>
      </c>
      <c r="C90" s="14" t="n">
        <v>2026</v>
      </c>
      <c r="D90" s="14" t="n">
        <v>2</v>
      </c>
      <c r="E90" s="14" t="s">
        <v>187</v>
      </c>
      <c r="F90" s="14" t="s">
        <v>208</v>
      </c>
      <c r="G90" s="14" t="s">
        <v>37</v>
      </c>
      <c r="H90" s="14" t="s">
        <v>37</v>
      </c>
      <c r="I90" s="16" t="n">
        <v>7.32</v>
      </c>
      <c r="J90" s="14" t="s">
        <v>61</v>
      </c>
      <c r="K90" s="14" t="s">
        <v>48</v>
      </c>
      <c r="L90" s="14" t="s">
        <v>41</v>
      </c>
    </row>
    <row r="91" customFormat="false" ht="15" hidden="false" customHeight="false" outlineLevel="0" collapsed="false">
      <c r="A91" s="1" t="s">
        <v>209</v>
      </c>
      <c r="B91" s="17" t="n">
        <v>46068</v>
      </c>
      <c r="C91" s="1" t="n">
        <v>2026</v>
      </c>
      <c r="D91" s="1" t="n">
        <v>2</v>
      </c>
      <c r="E91" s="1" t="s">
        <v>187</v>
      </c>
      <c r="F91" s="1" t="s">
        <v>97</v>
      </c>
      <c r="G91" s="1" t="s">
        <v>56</v>
      </c>
      <c r="H91" s="1" t="s">
        <v>56</v>
      </c>
      <c r="I91" s="18" t="n">
        <v>40.84</v>
      </c>
      <c r="J91" s="1" t="s">
        <v>61</v>
      </c>
      <c r="K91" s="1" t="s">
        <v>48</v>
      </c>
      <c r="L91" s="1" t="s">
        <v>41</v>
      </c>
    </row>
    <row r="92" customFormat="false" ht="15" hidden="false" customHeight="false" outlineLevel="0" collapsed="false">
      <c r="A92" s="14" t="s">
        <v>210</v>
      </c>
      <c r="B92" s="15" t="n">
        <v>46069</v>
      </c>
      <c r="C92" s="14" t="n">
        <v>2026</v>
      </c>
      <c r="D92" s="14" t="n">
        <v>2</v>
      </c>
      <c r="E92" s="14" t="s">
        <v>187</v>
      </c>
      <c r="F92" s="14" t="s">
        <v>80</v>
      </c>
      <c r="G92" s="14" t="s">
        <v>76</v>
      </c>
      <c r="H92" s="14" t="s">
        <v>81</v>
      </c>
      <c r="I92" s="16" t="n">
        <v>24.93</v>
      </c>
      <c r="J92" s="14" t="s">
        <v>61</v>
      </c>
      <c r="K92" s="14" t="s">
        <v>100</v>
      </c>
      <c r="L92" s="14" t="s">
        <v>41</v>
      </c>
    </row>
    <row r="93" customFormat="false" ht="15" hidden="false" customHeight="false" outlineLevel="0" collapsed="false">
      <c r="A93" s="1" t="s">
        <v>211</v>
      </c>
      <c r="B93" s="17" t="n">
        <v>46071</v>
      </c>
      <c r="C93" s="1" t="n">
        <v>2026</v>
      </c>
      <c r="D93" s="1" t="n">
        <v>2</v>
      </c>
      <c r="E93" s="1" t="s">
        <v>187</v>
      </c>
      <c r="F93" s="1" t="s">
        <v>97</v>
      </c>
      <c r="G93" s="1" t="s">
        <v>56</v>
      </c>
      <c r="H93" s="1" t="s">
        <v>56</v>
      </c>
      <c r="I93" s="18" t="n">
        <v>36.96</v>
      </c>
      <c r="J93" s="1" t="s">
        <v>61</v>
      </c>
      <c r="K93" s="1" t="s">
        <v>45</v>
      </c>
      <c r="L93" s="1" t="s">
        <v>41</v>
      </c>
    </row>
    <row r="94" customFormat="false" ht="15" hidden="false" customHeight="false" outlineLevel="0" collapsed="false">
      <c r="A94" s="14" t="s">
        <v>212</v>
      </c>
      <c r="B94" s="15" t="n">
        <v>46071</v>
      </c>
      <c r="C94" s="14" t="n">
        <v>2026</v>
      </c>
      <c r="D94" s="14" t="n">
        <v>2</v>
      </c>
      <c r="E94" s="14" t="s">
        <v>187</v>
      </c>
      <c r="F94" s="14" t="s">
        <v>94</v>
      </c>
      <c r="G94" s="14" t="s">
        <v>95</v>
      </c>
      <c r="H94" s="14" t="s">
        <v>95</v>
      </c>
      <c r="I94" s="16" t="n">
        <v>6.78</v>
      </c>
      <c r="J94" s="14" t="s">
        <v>61</v>
      </c>
      <c r="K94" s="14" t="s">
        <v>45</v>
      </c>
      <c r="L94" s="14" t="s">
        <v>41</v>
      </c>
    </row>
    <row r="95" customFormat="false" ht="15" hidden="false" customHeight="false" outlineLevel="0" collapsed="false">
      <c r="A95" s="1" t="s">
        <v>213</v>
      </c>
      <c r="B95" s="17" t="n">
        <v>46071</v>
      </c>
      <c r="C95" s="1" t="n">
        <v>2026</v>
      </c>
      <c r="D95" s="1" t="n">
        <v>2</v>
      </c>
      <c r="E95" s="1" t="s">
        <v>187</v>
      </c>
      <c r="F95" s="1" t="s">
        <v>55</v>
      </c>
      <c r="G95" s="1" t="s">
        <v>56</v>
      </c>
      <c r="H95" s="1" t="s">
        <v>56</v>
      </c>
      <c r="I95" s="18" t="n">
        <v>69.77</v>
      </c>
      <c r="J95" s="1" t="s">
        <v>61</v>
      </c>
      <c r="K95" s="1" t="s">
        <v>45</v>
      </c>
      <c r="L95" s="1" t="s">
        <v>41</v>
      </c>
    </row>
    <row r="96" customFormat="false" ht="15" hidden="false" customHeight="false" outlineLevel="0" collapsed="false">
      <c r="A96" s="14" t="s">
        <v>214</v>
      </c>
      <c r="B96" s="15" t="n">
        <v>46072</v>
      </c>
      <c r="C96" s="14" t="n">
        <v>2026</v>
      </c>
      <c r="D96" s="14" t="n">
        <v>2</v>
      </c>
      <c r="E96" s="14" t="s">
        <v>187</v>
      </c>
      <c r="F96" s="14" t="s">
        <v>215</v>
      </c>
      <c r="G96" s="14" t="s">
        <v>44</v>
      </c>
      <c r="H96" s="14" t="s">
        <v>44</v>
      </c>
      <c r="I96" s="16" t="n">
        <v>8.34</v>
      </c>
      <c r="J96" s="14" t="s">
        <v>61</v>
      </c>
      <c r="K96" s="14" t="s">
        <v>78</v>
      </c>
      <c r="L96" s="14" t="s">
        <v>41</v>
      </c>
    </row>
    <row r="97" customFormat="false" ht="15" hidden="false" customHeight="false" outlineLevel="0" collapsed="false">
      <c r="A97" s="1" t="s">
        <v>216</v>
      </c>
      <c r="B97" s="17" t="n">
        <v>46073</v>
      </c>
      <c r="C97" s="1" t="n">
        <v>2026</v>
      </c>
      <c r="D97" s="1" t="n">
        <v>2</v>
      </c>
      <c r="E97" s="1" t="s">
        <v>187</v>
      </c>
      <c r="F97" s="1" t="s">
        <v>196</v>
      </c>
      <c r="G97" s="1" t="s">
        <v>67</v>
      </c>
      <c r="H97" s="1" t="s">
        <v>67</v>
      </c>
      <c r="I97" s="18" t="n">
        <v>9.56</v>
      </c>
      <c r="J97" s="1" t="s">
        <v>61</v>
      </c>
      <c r="K97" s="1" t="s">
        <v>40</v>
      </c>
      <c r="L97" s="1" t="s">
        <v>41</v>
      </c>
    </row>
    <row r="98" customFormat="false" ht="15" hidden="false" customHeight="false" outlineLevel="0" collapsed="false">
      <c r="A98" s="14" t="s">
        <v>217</v>
      </c>
      <c r="B98" s="15" t="n">
        <v>46073</v>
      </c>
      <c r="C98" s="14" t="n">
        <v>2026</v>
      </c>
      <c r="D98" s="14" t="n">
        <v>2</v>
      </c>
      <c r="E98" s="14" t="s">
        <v>187</v>
      </c>
      <c r="F98" s="14" t="s">
        <v>75</v>
      </c>
      <c r="G98" s="14" t="s">
        <v>76</v>
      </c>
      <c r="H98" s="14" t="s">
        <v>77</v>
      </c>
      <c r="I98" s="16" t="n">
        <v>9.87</v>
      </c>
      <c r="J98" s="14" t="s">
        <v>61</v>
      </c>
      <c r="K98" s="14" t="s">
        <v>40</v>
      </c>
      <c r="L98" s="14" t="s">
        <v>41</v>
      </c>
    </row>
    <row r="99" customFormat="false" ht="15" hidden="false" customHeight="false" outlineLevel="0" collapsed="false">
      <c r="A99" s="1" t="s">
        <v>218</v>
      </c>
      <c r="B99" s="17" t="n">
        <v>46074</v>
      </c>
      <c r="C99" s="1" t="n">
        <v>2026</v>
      </c>
      <c r="D99" s="1" t="n">
        <v>2</v>
      </c>
      <c r="E99" s="1" t="s">
        <v>187</v>
      </c>
      <c r="F99" s="1" t="s">
        <v>80</v>
      </c>
      <c r="G99" s="1" t="s">
        <v>76</v>
      </c>
      <c r="H99" s="1" t="s">
        <v>81</v>
      </c>
      <c r="I99" s="18" t="n">
        <v>25.03</v>
      </c>
      <c r="J99" s="1" t="s">
        <v>61</v>
      </c>
      <c r="K99" s="1" t="s">
        <v>91</v>
      </c>
      <c r="L99" s="1" t="s">
        <v>41</v>
      </c>
    </row>
    <row r="100" customFormat="false" ht="15" hidden="false" customHeight="false" outlineLevel="0" collapsed="false">
      <c r="A100" s="14" t="s">
        <v>219</v>
      </c>
      <c r="B100" s="15" t="n">
        <v>46074</v>
      </c>
      <c r="C100" s="14" t="n">
        <v>2026</v>
      </c>
      <c r="D100" s="14" t="n">
        <v>2</v>
      </c>
      <c r="E100" s="14" t="s">
        <v>187</v>
      </c>
      <c r="F100" s="14" t="s">
        <v>142</v>
      </c>
      <c r="G100" s="14" t="s">
        <v>95</v>
      </c>
      <c r="H100" s="14" t="s">
        <v>95</v>
      </c>
      <c r="I100" s="16" t="n">
        <v>4.65</v>
      </c>
      <c r="J100" s="14" t="s">
        <v>61</v>
      </c>
      <c r="K100" s="14" t="s">
        <v>91</v>
      </c>
      <c r="L100" s="14" t="s">
        <v>41</v>
      </c>
    </row>
    <row r="101" customFormat="false" ht="15" hidden="false" customHeight="false" outlineLevel="0" collapsed="false">
      <c r="A101" s="1" t="s">
        <v>220</v>
      </c>
      <c r="B101" s="17" t="n">
        <v>46074</v>
      </c>
      <c r="C101" s="1" t="n">
        <v>2026</v>
      </c>
      <c r="D101" s="1" t="n">
        <v>2</v>
      </c>
      <c r="E101" s="1" t="s">
        <v>187</v>
      </c>
      <c r="F101" s="1" t="s">
        <v>43</v>
      </c>
      <c r="G101" s="1" t="s">
        <v>44</v>
      </c>
      <c r="H101" s="1" t="s">
        <v>44</v>
      </c>
      <c r="I101" s="18" t="n">
        <v>1.08</v>
      </c>
      <c r="J101" s="1" t="s">
        <v>61</v>
      </c>
      <c r="K101" s="1" t="s">
        <v>91</v>
      </c>
      <c r="L101" s="1" t="s">
        <v>41</v>
      </c>
    </row>
    <row r="102" customFormat="false" ht="15" hidden="false" customHeight="false" outlineLevel="0" collapsed="false">
      <c r="A102" s="14" t="s">
        <v>221</v>
      </c>
      <c r="B102" s="15" t="n">
        <v>46074</v>
      </c>
      <c r="C102" s="14" t="n">
        <v>2026</v>
      </c>
      <c r="D102" s="14" t="n">
        <v>2</v>
      </c>
      <c r="E102" s="14" t="s">
        <v>187</v>
      </c>
      <c r="F102" s="14" t="s">
        <v>94</v>
      </c>
      <c r="G102" s="14" t="s">
        <v>95</v>
      </c>
      <c r="H102" s="14" t="s">
        <v>95</v>
      </c>
      <c r="I102" s="16" t="n">
        <v>6.78</v>
      </c>
      <c r="J102" s="14" t="s">
        <v>61</v>
      </c>
      <c r="K102" s="14" t="s">
        <v>91</v>
      </c>
      <c r="L102" s="14" t="s">
        <v>41</v>
      </c>
    </row>
    <row r="103" customFormat="false" ht="15" hidden="false" customHeight="false" outlineLevel="0" collapsed="false">
      <c r="A103" s="1" t="s">
        <v>222</v>
      </c>
      <c r="B103" s="17" t="n">
        <v>46074</v>
      </c>
      <c r="C103" s="1" t="n">
        <v>2026</v>
      </c>
      <c r="D103" s="1" t="n">
        <v>2</v>
      </c>
      <c r="E103" s="1" t="s">
        <v>187</v>
      </c>
      <c r="F103" s="1" t="s">
        <v>97</v>
      </c>
      <c r="G103" s="1" t="s">
        <v>56</v>
      </c>
      <c r="H103" s="1" t="s">
        <v>56</v>
      </c>
      <c r="I103" s="18" t="n">
        <v>12.95</v>
      </c>
      <c r="J103" s="1" t="s">
        <v>61</v>
      </c>
      <c r="K103" s="1" t="s">
        <v>91</v>
      </c>
      <c r="L103" s="1" t="s">
        <v>41</v>
      </c>
    </row>
    <row r="104" customFormat="false" ht="15" hidden="false" customHeight="false" outlineLevel="0" collapsed="false">
      <c r="A104" s="14" t="s">
        <v>223</v>
      </c>
      <c r="B104" s="15" t="n">
        <v>46074</v>
      </c>
      <c r="C104" s="14" t="n">
        <v>2026</v>
      </c>
      <c r="D104" s="14" t="n">
        <v>2</v>
      </c>
      <c r="E104" s="14" t="s">
        <v>187</v>
      </c>
      <c r="F104" s="14" t="s">
        <v>43</v>
      </c>
      <c r="G104" s="14" t="s">
        <v>44</v>
      </c>
      <c r="H104" s="14" t="s">
        <v>44</v>
      </c>
      <c r="I104" s="16" t="n">
        <v>8.67</v>
      </c>
      <c r="J104" s="14" t="s">
        <v>61</v>
      </c>
      <c r="K104" s="14" t="s">
        <v>91</v>
      </c>
      <c r="L104" s="14" t="s">
        <v>41</v>
      </c>
    </row>
    <row r="105" customFormat="false" ht="15" hidden="false" customHeight="false" outlineLevel="0" collapsed="false">
      <c r="A105" s="1" t="s">
        <v>224</v>
      </c>
      <c r="B105" s="17" t="n">
        <v>46075</v>
      </c>
      <c r="C105" s="1" t="n">
        <v>2026</v>
      </c>
      <c r="D105" s="1" t="n">
        <v>2</v>
      </c>
      <c r="E105" s="1" t="s">
        <v>187</v>
      </c>
      <c r="F105" s="1" t="s">
        <v>225</v>
      </c>
      <c r="G105" s="1" t="s">
        <v>72</v>
      </c>
      <c r="H105" s="1" t="s">
        <v>72</v>
      </c>
      <c r="I105" s="18" t="n">
        <v>267.12</v>
      </c>
      <c r="J105" s="1" t="s">
        <v>61</v>
      </c>
      <c r="K105" s="1" t="s">
        <v>48</v>
      </c>
      <c r="L105" s="1" t="s">
        <v>108</v>
      </c>
    </row>
    <row r="106" customFormat="false" ht="15" hidden="false" customHeight="false" outlineLevel="0" collapsed="false">
      <c r="A106" s="14" t="s">
        <v>226</v>
      </c>
      <c r="B106" s="15" t="n">
        <v>46076</v>
      </c>
      <c r="C106" s="14" t="n">
        <v>2026</v>
      </c>
      <c r="D106" s="14" t="n">
        <v>2</v>
      </c>
      <c r="E106" s="14" t="s">
        <v>187</v>
      </c>
      <c r="F106" s="14" t="s">
        <v>227</v>
      </c>
      <c r="G106" s="14" t="s">
        <v>228</v>
      </c>
      <c r="H106" s="14" t="s">
        <v>228</v>
      </c>
      <c r="I106" s="16" t="n">
        <v>168</v>
      </c>
      <c r="J106" s="14" t="s">
        <v>61</v>
      </c>
      <c r="K106" s="14" t="s">
        <v>100</v>
      </c>
      <c r="L106" s="14" t="s">
        <v>108</v>
      </c>
    </row>
    <row r="107" customFormat="false" ht="15" hidden="false" customHeight="false" outlineLevel="0" collapsed="false">
      <c r="A107" s="1" t="s">
        <v>229</v>
      </c>
      <c r="B107" s="17" t="n">
        <v>46076</v>
      </c>
      <c r="C107" s="1" t="n">
        <v>2026</v>
      </c>
      <c r="D107" s="1" t="n">
        <v>2</v>
      </c>
      <c r="E107" s="1" t="s">
        <v>187</v>
      </c>
      <c r="F107" s="1" t="s">
        <v>230</v>
      </c>
      <c r="G107" s="1" t="s">
        <v>228</v>
      </c>
      <c r="H107" s="1" t="s">
        <v>228</v>
      </c>
      <c r="I107" s="18" t="n">
        <v>5.02</v>
      </c>
      <c r="J107" s="1" t="s">
        <v>61</v>
      </c>
      <c r="K107" s="1" t="s">
        <v>100</v>
      </c>
      <c r="L107" s="1" t="s">
        <v>108</v>
      </c>
    </row>
    <row r="108" customFormat="false" ht="15" hidden="false" customHeight="false" outlineLevel="0" collapsed="false">
      <c r="A108" s="14" t="s">
        <v>231</v>
      </c>
      <c r="B108" s="15" t="n">
        <v>46077</v>
      </c>
      <c r="C108" s="14" t="n">
        <v>2026</v>
      </c>
      <c r="D108" s="14" t="n">
        <v>2</v>
      </c>
      <c r="E108" s="14" t="s">
        <v>187</v>
      </c>
      <c r="F108" s="14" t="s">
        <v>94</v>
      </c>
      <c r="G108" s="14" t="s">
        <v>95</v>
      </c>
      <c r="H108" s="14" t="s">
        <v>95</v>
      </c>
      <c r="I108" s="16" t="n">
        <v>6.78</v>
      </c>
      <c r="J108" s="14" t="s">
        <v>61</v>
      </c>
      <c r="K108" s="14" t="s">
        <v>51</v>
      </c>
      <c r="L108" s="14" t="s">
        <v>41</v>
      </c>
    </row>
    <row r="109" customFormat="false" ht="15" hidden="false" customHeight="false" outlineLevel="0" collapsed="false">
      <c r="A109" s="1" t="s">
        <v>232</v>
      </c>
      <c r="B109" s="17" t="n">
        <v>46077</v>
      </c>
      <c r="C109" s="1" t="n">
        <v>2026</v>
      </c>
      <c r="D109" s="1" t="n">
        <v>2</v>
      </c>
      <c r="E109" s="1" t="s">
        <v>187</v>
      </c>
      <c r="F109" s="1" t="s">
        <v>233</v>
      </c>
      <c r="G109" s="1" t="s">
        <v>44</v>
      </c>
      <c r="H109" s="1" t="s">
        <v>44</v>
      </c>
      <c r="I109" s="18" t="n">
        <v>13.02</v>
      </c>
      <c r="J109" s="1" t="s">
        <v>61</v>
      </c>
      <c r="K109" s="1" t="s">
        <v>51</v>
      </c>
      <c r="L109" s="1" t="s">
        <v>41</v>
      </c>
    </row>
    <row r="110" customFormat="false" ht="15" hidden="false" customHeight="false" outlineLevel="0" collapsed="false">
      <c r="A110" s="14" t="s">
        <v>234</v>
      </c>
      <c r="B110" s="15" t="n">
        <v>46078</v>
      </c>
      <c r="C110" s="14" t="n">
        <v>2026</v>
      </c>
      <c r="D110" s="14" t="n">
        <v>2</v>
      </c>
      <c r="E110" s="14" t="s">
        <v>187</v>
      </c>
      <c r="F110" s="14" t="s">
        <v>170</v>
      </c>
      <c r="G110" s="14" t="s">
        <v>171</v>
      </c>
      <c r="H110" s="14" t="s">
        <v>171</v>
      </c>
      <c r="I110" s="16" t="n">
        <v>232.61</v>
      </c>
      <c r="J110" s="14" t="s">
        <v>61</v>
      </c>
      <c r="K110" s="14" t="s">
        <v>45</v>
      </c>
      <c r="L110" s="14" t="s">
        <v>108</v>
      </c>
    </row>
    <row r="111" customFormat="false" ht="15" hidden="false" customHeight="false" outlineLevel="0" collapsed="false">
      <c r="A111" s="1" t="s">
        <v>235</v>
      </c>
      <c r="B111" s="17" t="n">
        <v>46079</v>
      </c>
      <c r="C111" s="1" t="n">
        <v>2026</v>
      </c>
      <c r="D111" s="1" t="n">
        <v>2</v>
      </c>
      <c r="E111" s="1" t="s">
        <v>187</v>
      </c>
      <c r="F111" s="1" t="s">
        <v>236</v>
      </c>
      <c r="G111" s="1" t="s">
        <v>72</v>
      </c>
      <c r="H111" s="1" t="s">
        <v>72</v>
      </c>
      <c r="I111" s="18" t="n">
        <v>7.49</v>
      </c>
      <c r="J111" s="1" t="s">
        <v>61</v>
      </c>
      <c r="K111" s="1" t="s">
        <v>78</v>
      </c>
      <c r="L111" s="1" t="s">
        <v>41</v>
      </c>
    </row>
    <row r="112" customFormat="false" ht="15" hidden="false" customHeight="false" outlineLevel="0" collapsed="false">
      <c r="A112" s="14" t="s">
        <v>237</v>
      </c>
      <c r="B112" s="15" t="n">
        <v>46081</v>
      </c>
      <c r="C112" s="14" t="n">
        <v>2026</v>
      </c>
      <c r="D112" s="14" t="n">
        <v>2</v>
      </c>
      <c r="E112" s="14" t="s">
        <v>187</v>
      </c>
      <c r="F112" s="14" t="s">
        <v>71</v>
      </c>
      <c r="G112" s="14" t="s">
        <v>72</v>
      </c>
      <c r="H112" s="14" t="s">
        <v>72</v>
      </c>
      <c r="I112" s="16" t="n">
        <v>20</v>
      </c>
      <c r="J112" s="14" t="s">
        <v>39</v>
      </c>
      <c r="K112" s="14" t="s">
        <v>91</v>
      </c>
      <c r="L112" s="14" t="s">
        <v>41</v>
      </c>
    </row>
    <row r="113" customFormat="false" ht="15" hidden="false" customHeight="false" outlineLevel="0" collapsed="false">
      <c r="A113" s="1" t="s">
        <v>238</v>
      </c>
      <c r="B113" s="17" t="n">
        <v>46081</v>
      </c>
      <c r="C113" s="1" t="n">
        <v>2026</v>
      </c>
      <c r="D113" s="1" t="n">
        <v>2</v>
      </c>
      <c r="E113" s="1" t="s">
        <v>187</v>
      </c>
      <c r="F113" s="1" t="s">
        <v>239</v>
      </c>
      <c r="G113" s="1" t="s">
        <v>44</v>
      </c>
      <c r="H113" s="1" t="s">
        <v>44</v>
      </c>
      <c r="I113" s="18" t="n">
        <v>12.6</v>
      </c>
      <c r="J113" s="1" t="s">
        <v>39</v>
      </c>
      <c r="K113" s="1" t="s">
        <v>91</v>
      </c>
      <c r="L113" s="1" t="s">
        <v>41</v>
      </c>
    </row>
    <row r="114" customFormat="false" ht="15" hidden="false" customHeight="false" outlineLevel="0" collapsed="false">
      <c r="A114" s="14" t="s">
        <v>240</v>
      </c>
      <c r="B114" s="15" t="n">
        <v>46082</v>
      </c>
      <c r="C114" s="14" t="n">
        <v>2026</v>
      </c>
      <c r="D114" s="14" t="n">
        <v>3</v>
      </c>
      <c r="E114" s="14" t="s">
        <v>241</v>
      </c>
      <c r="F114" s="14" t="s">
        <v>196</v>
      </c>
      <c r="G114" s="14" t="s">
        <v>67</v>
      </c>
      <c r="H114" s="14" t="s">
        <v>67</v>
      </c>
      <c r="I114" s="16" t="n">
        <v>21.38</v>
      </c>
      <c r="J114" s="14" t="s">
        <v>39</v>
      </c>
      <c r="K114" s="14" t="s">
        <v>48</v>
      </c>
      <c r="L114" s="14" t="s">
        <v>41</v>
      </c>
    </row>
    <row r="115" customFormat="false" ht="15" hidden="false" customHeight="false" outlineLevel="0" collapsed="false">
      <c r="A115" s="1" t="s">
        <v>242</v>
      </c>
      <c r="B115" s="17" t="n">
        <v>46082</v>
      </c>
      <c r="C115" s="1" t="n">
        <v>2026</v>
      </c>
      <c r="D115" s="1" t="n">
        <v>3</v>
      </c>
      <c r="E115" s="1" t="s">
        <v>241</v>
      </c>
      <c r="F115" s="1" t="s">
        <v>188</v>
      </c>
      <c r="G115" s="1" t="s">
        <v>189</v>
      </c>
      <c r="H115" s="1" t="s">
        <v>189</v>
      </c>
      <c r="I115" s="18" t="n">
        <v>29</v>
      </c>
      <c r="J115" s="1" t="s">
        <v>39</v>
      </c>
      <c r="K115" s="1" t="s">
        <v>48</v>
      </c>
      <c r="L115" s="1" t="s">
        <v>41</v>
      </c>
    </row>
    <row r="116" customFormat="false" ht="15" hidden="false" customHeight="false" outlineLevel="0" collapsed="false">
      <c r="A116" s="14" t="s">
        <v>243</v>
      </c>
      <c r="B116" s="15" t="n">
        <v>46083</v>
      </c>
      <c r="C116" s="14" t="n">
        <v>2026</v>
      </c>
      <c r="D116" s="14" t="n">
        <v>3</v>
      </c>
      <c r="E116" s="14" t="s">
        <v>241</v>
      </c>
      <c r="F116" s="14" t="s">
        <v>196</v>
      </c>
      <c r="G116" s="14" t="s">
        <v>67</v>
      </c>
      <c r="H116" s="14" t="s">
        <v>67</v>
      </c>
      <c r="I116" s="16" t="n">
        <v>30.9</v>
      </c>
      <c r="J116" s="14" t="s">
        <v>39</v>
      </c>
      <c r="K116" s="14" t="s">
        <v>100</v>
      </c>
      <c r="L116" s="14" t="s">
        <v>41</v>
      </c>
    </row>
    <row r="117" customFormat="false" ht="15" hidden="false" customHeight="false" outlineLevel="0" collapsed="false">
      <c r="A117" s="1" t="s">
        <v>244</v>
      </c>
      <c r="B117" s="17" t="n">
        <v>46085</v>
      </c>
      <c r="C117" s="1" t="n">
        <v>2026</v>
      </c>
      <c r="D117" s="1" t="n">
        <v>3</v>
      </c>
      <c r="E117" s="1" t="s">
        <v>241</v>
      </c>
      <c r="F117" s="1" t="s">
        <v>59</v>
      </c>
      <c r="G117" s="1" t="s">
        <v>60</v>
      </c>
      <c r="H117" s="1" t="s">
        <v>60</v>
      </c>
      <c r="I117" s="18" t="n">
        <v>24</v>
      </c>
      <c r="J117" s="1" t="s">
        <v>39</v>
      </c>
      <c r="K117" s="1" t="s">
        <v>45</v>
      </c>
      <c r="L117" s="1" t="s">
        <v>41</v>
      </c>
    </row>
    <row r="118" customFormat="false" ht="15" hidden="false" customHeight="false" outlineLevel="0" collapsed="false">
      <c r="A118" s="14" t="s">
        <v>245</v>
      </c>
      <c r="B118" s="15" t="n">
        <v>46092</v>
      </c>
      <c r="C118" s="14" t="n">
        <v>2026</v>
      </c>
      <c r="D118" s="14" t="n">
        <v>3</v>
      </c>
      <c r="E118" s="14" t="s">
        <v>241</v>
      </c>
      <c r="F118" s="14" t="s">
        <v>97</v>
      </c>
      <c r="G118" s="14" t="s">
        <v>56</v>
      </c>
      <c r="H118" s="14" t="s">
        <v>56</v>
      </c>
      <c r="I118" s="16" t="n">
        <v>43.57</v>
      </c>
      <c r="J118" s="14" t="s">
        <v>61</v>
      </c>
      <c r="K118" s="14" t="s">
        <v>45</v>
      </c>
      <c r="L118" s="14" t="s">
        <v>41</v>
      </c>
    </row>
    <row r="119" customFormat="false" ht="15" hidden="false" customHeight="false" outlineLevel="0" collapsed="false">
      <c r="A119" s="1" t="s">
        <v>246</v>
      </c>
      <c r="B119" s="17" t="n">
        <v>46092</v>
      </c>
      <c r="C119" s="1" t="n">
        <v>2026</v>
      </c>
      <c r="D119" s="1" t="n">
        <v>3</v>
      </c>
      <c r="E119" s="1" t="s">
        <v>241</v>
      </c>
      <c r="F119" s="1" t="s">
        <v>173</v>
      </c>
      <c r="G119" s="1" t="s">
        <v>56</v>
      </c>
      <c r="H119" s="1" t="s">
        <v>56</v>
      </c>
      <c r="I119" s="18" t="n">
        <v>72.23</v>
      </c>
      <c r="J119" s="1" t="s">
        <v>61</v>
      </c>
      <c r="K119" s="1" t="s">
        <v>45</v>
      </c>
      <c r="L119" s="1" t="s">
        <v>41</v>
      </c>
    </row>
    <row r="120" customFormat="false" ht="15" hidden="false" customHeight="false" outlineLevel="0" collapsed="false">
      <c r="A120" s="14" t="s">
        <v>247</v>
      </c>
      <c r="B120" s="15" t="n">
        <v>46092</v>
      </c>
      <c r="C120" s="14" t="n">
        <v>2026</v>
      </c>
      <c r="D120" s="14" t="n">
        <v>3</v>
      </c>
      <c r="E120" s="14" t="s">
        <v>241</v>
      </c>
      <c r="F120" s="14" t="s">
        <v>248</v>
      </c>
      <c r="G120" s="14" t="s">
        <v>44</v>
      </c>
      <c r="H120" s="14" t="s">
        <v>44</v>
      </c>
      <c r="I120" s="16" t="n">
        <v>14</v>
      </c>
      <c r="J120" s="14" t="s">
        <v>61</v>
      </c>
      <c r="K120" s="14" t="s">
        <v>45</v>
      </c>
      <c r="L120" s="14" t="s">
        <v>41</v>
      </c>
    </row>
    <row r="121" customFormat="false" ht="15" hidden="false" customHeight="false" outlineLevel="0" collapsed="false">
      <c r="A121" s="1" t="s">
        <v>249</v>
      </c>
      <c r="B121" s="17" t="n">
        <v>46092</v>
      </c>
      <c r="C121" s="1" t="n">
        <v>2026</v>
      </c>
      <c r="D121" s="1" t="n">
        <v>3</v>
      </c>
      <c r="E121" s="1" t="s">
        <v>241</v>
      </c>
      <c r="F121" s="1" t="s">
        <v>97</v>
      </c>
      <c r="G121" s="1" t="s">
        <v>56</v>
      </c>
      <c r="H121" s="1" t="s">
        <v>56</v>
      </c>
      <c r="I121" s="18" t="n">
        <v>8.65</v>
      </c>
      <c r="J121" s="1" t="s">
        <v>61</v>
      </c>
      <c r="K121" s="1" t="s">
        <v>45</v>
      </c>
      <c r="L121" s="1" t="s">
        <v>41</v>
      </c>
    </row>
    <row r="122" customFormat="false" ht="15" hidden="false" customHeight="false" outlineLevel="0" collapsed="false">
      <c r="A122" s="14" t="s">
        <v>250</v>
      </c>
      <c r="B122" s="15" t="n">
        <v>46105</v>
      </c>
      <c r="C122" s="14" t="n">
        <v>2026</v>
      </c>
      <c r="D122" s="14" t="n">
        <v>3</v>
      </c>
      <c r="E122" s="14" t="s">
        <v>241</v>
      </c>
      <c r="F122" s="14" t="s">
        <v>251</v>
      </c>
      <c r="G122" s="14" t="s">
        <v>37</v>
      </c>
      <c r="H122" s="14" t="s">
        <v>37</v>
      </c>
      <c r="I122" s="16" t="n">
        <v>30.99</v>
      </c>
      <c r="J122" s="14" t="s">
        <v>61</v>
      </c>
      <c r="K122" s="14" t="s">
        <v>51</v>
      </c>
      <c r="L122" s="1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7" min="17" style="0" width="10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19" t="s">
        <v>28</v>
      </c>
      <c r="B1" s="19" t="s">
        <v>252</v>
      </c>
      <c r="C1" s="19" t="s">
        <v>253</v>
      </c>
      <c r="D1" s="19"/>
      <c r="E1" s="19" t="s">
        <v>26</v>
      </c>
      <c r="F1" s="19" t="s">
        <v>252</v>
      </c>
      <c r="G1" s="19" t="s">
        <v>254</v>
      </c>
      <c r="H1" s="19"/>
      <c r="I1" s="19" t="s">
        <v>31</v>
      </c>
      <c r="J1" s="19" t="s">
        <v>252</v>
      </c>
      <c r="K1" s="19"/>
      <c r="L1" s="19"/>
      <c r="M1" s="19" t="s">
        <v>255</v>
      </c>
      <c r="N1" s="19" t="s">
        <v>252</v>
      </c>
      <c r="O1" s="19"/>
      <c r="P1" s="19"/>
      <c r="Q1" s="19" t="s">
        <v>23</v>
      </c>
      <c r="R1" s="19" t="s">
        <v>256</v>
      </c>
    </row>
    <row r="2" customFormat="false" ht="15" hidden="false" customHeight="false" outlineLevel="0" collapsed="false">
      <c r="A2" s="20" t="s">
        <v>87</v>
      </c>
      <c r="B2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Office Supplies")</f>
        <v>12.69</v>
      </c>
      <c r="C2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Office Supplies")</f>
        <v>7</v>
      </c>
      <c r="D2" s="20"/>
      <c r="E2" s="20" t="s">
        <v>35</v>
      </c>
      <c r="F2" s="21" t="n">
        <f aca="false">SUMIFS(Transactions!$I$2:$I$122,Transactions!$E$2:$E$122,E2,Transactions!$G$2:$G$122,IF(Dashboard!$E$5="All","&lt;&gt;",Dashboard!$E$5),Transactions!$J$2:$J$122,IF(Dashboard!$H$5="All","&lt;&gt;",Dashboard!$H$5))</f>
        <v>713.69</v>
      </c>
      <c r="G2" s="21" t="n">
        <f aca="false">SUMIFS(Transactions!$I$2:$I$122,Transactions!$E$2:$E$122,E2,Transactions!$G$2:$G$122,IF(Dashboard!$E$5="All","&lt;&gt;",Dashboard!$E$5),Transactions!$J$2:$J$122,IF(Dashboard!$H$5="All","&lt;&gt;",Dashboard!$H$5),Transactions!$L$2:$L$122,"No")</f>
        <v>713.69</v>
      </c>
      <c r="H2" s="20"/>
      <c r="I2" s="20" t="s">
        <v>61</v>
      </c>
      <c r="J2" s="21" t="n">
        <f aca="false">SUMIFS(Transactions!$I$2:$I$122,Transactions!$J$2:$J$122,I2,Transactions!$E$2:$E$122,IF(Dashboard!$B$5="All","&lt;&gt;",Dashboard!$B$5),Transactions!$G$2:$G$122,IF(Dashboard!$E$5="All","&lt;&gt;",Dashboard!$E$5))</f>
        <v>3426.92</v>
      </c>
      <c r="K2" s="20"/>
      <c r="L2" s="20"/>
      <c r="M2" s="20" t="s">
        <v>164</v>
      </c>
      <c r="N2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Abercrombie &amp; Fitch Burlington MA")</f>
        <v>165</v>
      </c>
      <c r="O2" s="20"/>
      <c r="P2" s="20"/>
      <c r="Q2" s="20" t="s">
        <v>257</v>
      </c>
      <c r="R2" s="21" t="n">
        <f aca="false">SUMIFS(Transactions!$I$2:$I$122,Transactions!$B$2:$B$122,"2026-01-10",Transactions!$G$2:$G$122,IF(Dashboard!$E$5="All","&lt;&gt;",Dashboard!$E$5),Transactions!$J$2:$J$122,IF(Dashboard!$H$5="All","&lt;&gt;",Dashboard!$H$5))</f>
        <v>251.51</v>
      </c>
    </row>
    <row r="3" customFormat="false" ht="15" hidden="false" customHeight="false" outlineLevel="0" collapsed="false">
      <c r="A3" s="20" t="s">
        <v>64</v>
      </c>
      <c r="B3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Housing")</f>
        <v>15</v>
      </c>
      <c r="C3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Housing")</f>
        <v>1</v>
      </c>
      <c r="D3" s="20"/>
      <c r="E3" s="20" t="s">
        <v>74</v>
      </c>
      <c r="F3" s="21" t="n">
        <f aca="false">SUMIFS(Transactions!$I$2:$I$122,Transactions!$E$2:$E$122,E3,Transactions!$G$2:$G$122,IF(Dashboard!$E$5="All","&lt;&gt;",Dashboard!$E$5),Transactions!$J$2:$J$122,IF(Dashboard!$H$5="All","&lt;&gt;",Dashboard!$H$5))</f>
        <v>2169.56</v>
      </c>
      <c r="G3" s="21" t="n">
        <f aca="false">SUMIFS(Transactions!$I$2:$I$122,Transactions!$E$2:$E$122,E3,Transactions!$G$2:$G$122,IF(Dashboard!$E$5="All","&lt;&gt;",Dashboard!$E$5),Transactions!$J$2:$J$122,IF(Dashboard!$H$5="All","&lt;&gt;",Dashboard!$H$5),Transactions!$L$2:$L$122,"No")</f>
        <v>1044.7</v>
      </c>
      <c r="H3" s="20"/>
      <c r="I3" s="20" t="s">
        <v>39</v>
      </c>
      <c r="J3" s="21" t="n">
        <f aca="false">SUMIFS(Transactions!$I$2:$I$122,Transactions!$J$2:$J$122,I3,Transactions!$E$2:$E$122,IF(Dashboard!$B$5="All","&lt;&gt;",Dashboard!$B$5),Transactions!$G$2:$G$122,IF(Dashboard!$E$5="All","&lt;&gt;",Dashboard!$E$5))</f>
        <v>1079.61</v>
      </c>
      <c r="K3" s="20"/>
      <c r="L3" s="20"/>
      <c r="M3" s="20" t="s">
        <v>227</v>
      </c>
      <c r="N3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Schoharie Town Court NY")</f>
        <v>168</v>
      </c>
      <c r="O3" s="20"/>
      <c r="P3" s="20"/>
      <c r="Q3" s="20" t="s">
        <v>258</v>
      </c>
      <c r="R3" s="21" t="n">
        <f aca="false">SUMIFS(Transactions!$I$2:$I$122,Transactions!$B$2:$B$122,"2026-01-12",Transactions!$G$2:$G$122,IF(Dashboard!$E$5="All","&lt;&gt;",Dashboard!$E$5),Transactions!$J$2:$J$122,IF(Dashboard!$H$5="All","&lt;&gt;",Dashboard!$H$5))</f>
        <v>23.37</v>
      </c>
    </row>
    <row r="4" customFormat="false" ht="15" hidden="false" customHeight="false" outlineLevel="0" collapsed="false">
      <c r="A4" s="20" t="s">
        <v>60</v>
      </c>
      <c r="B4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Personal Care")</f>
        <v>47</v>
      </c>
      <c r="C4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Personal Care")</f>
        <v>2</v>
      </c>
      <c r="D4" s="20"/>
      <c r="E4" s="20" t="s">
        <v>187</v>
      </c>
      <c r="F4" s="21" t="n">
        <f aca="false">SUMIFS(Transactions!$I$2:$I$122,Transactions!$E$2:$E$122,E4,Transactions!$G$2:$G$122,IF(Dashboard!$E$5="All","&lt;&gt;",Dashboard!$E$5),Transactions!$J$2:$J$122,IF(Dashboard!$H$5="All","&lt;&gt;",Dashboard!$H$5))</f>
        <v>1348.56</v>
      </c>
      <c r="G4" s="21" t="n">
        <f aca="false">SUMIFS(Transactions!$I$2:$I$122,Transactions!$E$2:$E$122,E4,Transactions!$G$2:$G$122,IF(Dashboard!$E$5="All","&lt;&gt;",Dashboard!$E$5),Transactions!$J$2:$J$122,IF(Dashboard!$H$5="All","&lt;&gt;",Dashboard!$H$5),Transactions!$L$2:$L$122,"No")</f>
        <v>675.81</v>
      </c>
      <c r="H4" s="20"/>
      <c r="I4" s="20"/>
      <c r="J4" s="20"/>
      <c r="K4" s="20"/>
      <c r="L4" s="20"/>
      <c r="M4" s="20" t="s">
        <v>69</v>
      </c>
      <c r="N4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Maharaja Cambridge MA")</f>
        <v>213.9</v>
      </c>
      <c r="O4" s="20"/>
      <c r="P4" s="20"/>
      <c r="Q4" s="20" t="s">
        <v>259</v>
      </c>
      <c r="R4" s="21" t="n">
        <f aca="false">SUMIFS(Transactions!$I$2:$I$122,Transactions!$B$2:$B$122,"2026-01-13",Transactions!$G$2:$G$122,IF(Dashboard!$E$5="All","&lt;&gt;",Dashboard!$E$5),Transactions!$J$2:$J$122,IF(Dashboard!$H$5="All","&lt;&gt;",Dashboard!$H$5))</f>
        <v>99.84</v>
      </c>
    </row>
    <row r="5" customFormat="false" ht="15" hidden="false" customHeight="false" outlineLevel="0" collapsed="false">
      <c r="A5" s="20" t="s">
        <v>189</v>
      </c>
      <c r="B5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Services")</f>
        <v>106.96</v>
      </c>
      <c r="C5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Services")</f>
        <v>2</v>
      </c>
      <c r="D5" s="20"/>
      <c r="E5" s="20" t="s">
        <v>241</v>
      </c>
      <c r="F5" s="21" t="n">
        <f aca="false">SUMIFS(Transactions!$I$2:$I$122,Transactions!$E$2:$E$122,E5,Transactions!$G$2:$G$122,IF(Dashboard!$E$5="All","&lt;&gt;",Dashboard!$E$5),Transactions!$J$2:$J$122,IF(Dashboard!$H$5="All","&lt;&gt;",Dashboard!$H$5))</f>
        <v>274.72</v>
      </c>
      <c r="G5" s="21" t="n">
        <f aca="false">SUMIFS(Transactions!$I$2:$I$122,Transactions!$E$2:$E$122,E5,Transactions!$G$2:$G$122,IF(Dashboard!$E$5="All","&lt;&gt;",Dashboard!$E$5),Transactions!$J$2:$J$122,IF(Dashboard!$H$5="All","&lt;&gt;",Dashboard!$H$5),Transactions!$L$2:$L$122,"No")</f>
        <v>274.72</v>
      </c>
      <c r="H5" s="20"/>
      <c r="I5" s="20"/>
      <c r="J5" s="20"/>
      <c r="K5" s="20"/>
      <c r="L5" s="20"/>
      <c r="M5" s="20" t="s">
        <v>173</v>
      </c>
      <c r="N5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Costco Nashua NH")</f>
        <v>240.07</v>
      </c>
      <c r="O5" s="20"/>
      <c r="P5" s="20"/>
      <c r="Q5" s="20" t="s">
        <v>260</v>
      </c>
      <c r="R5" s="21" t="n">
        <f aca="false">SUMIFS(Transactions!$I$2:$I$122,Transactions!$B$2:$B$122,"2026-01-14",Transactions!$G$2:$G$122,IF(Dashboard!$E$5="All","&lt;&gt;",Dashboard!$E$5),Transactions!$J$2:$J$122,IF(Dashboard!$H$5="All","&lt;&gt;",Dashboard!$H$5))</f>
        <v>52.05</v>
      </c>
    </row>
    <row r="6" customFormat="false" ht="15" hidden="false" customHeight="false" outlineLevel="0" collapsed="false">
      <c r="A6" s="20" t="s">
        <v>95</v>
      </c>
      <c r="B6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Coffee")</f>
        <v>119.65</v>
      </c>
      <c r="C6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Coffee")</f>
        <v>11</v>
      </c>
      <c r="D6" s="20"/>
      <c r="E6" s="20"/>
      <c r="F6" s="20"/>
      <c r="G6" s="20"/>
      <c r="H6" s="20"/>
      <c r="I6" s="20"/>
      <c r="J6" s="20"/>
      <c r="K6" s="20"/>
      <c r="L6" s="20"/>
      <c r="M6" s="20" t="s">
        <v>97</v>
      </c>
      <c r="N6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Patel Brothers Nashua NH")</f>
        <v>250.61</v>
      </c>
      <c r="O6" s="20"/>
      <c r="P6" s="20"/>
      <c r="Q6" s="20" t="s">
        <v>261</v>
      </c>
      <c r="R6" s="21" t="n">
        <f aca="false">SUMIFS(Transactions!$I$2:$I$122,Transactions!$B$2:$B$122,"2026-01-15",Transactions!$G$2:$G$122,IF(Dashboard!$E$5="All","&lt;&gt;",Dashboard!$E$5),Transactions!$J$2:$J$122,IF(Dashboard!$H$5="All","&lt;&gt;",Dashboard!$H$5))</f>
        <v>33.1</v>
      </c>
    </row>
    <row r="7" customFormat="false" ht="15" hidden="false" customHeight="false" outlineLevel="0" collapsed="false">
      <c r="A7" s="20" t="s">
        <v>67</v>
      </c>
      <c r="B7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Transport")</f>
        <v>142.92</v>
      </c>
      <c r="C7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Transport")</f>
        <v>11</v>
      </c>
      <c r="D7" s="20"/>
      <c r="E7" s="20"/>
      <c r="F7" s="20"/>
      <c r="G7" s="20"/>
      <c r="H7" s="20"/>
      <c r="I7" s="20"/>
      <c r="J7" s="20"/>
      <c r="K7" s="20"/>
      <c r="L7" s="20"/>
      <c r="M7" s="20" t="s">
        <v>118</v>
      </c>
      <c r="N7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Summit One Vanderbilt NY")</f>
        <v>262.4</v>
      </c>
      <c r="O7" s="20"/>
      <c r="P7" s="20"/>
      <c r="Q7" s="20" t="s">
        <v>262</v>
      </c>
      <c r="R7" s="21" t="n">
        <f aca="false">SUMIFS(Transactions!$I$2:$I$122,Transactions!$B$2:$B$122,"2026-01-16",Transactions!$G$2:$G$122,IF(Dashboard!$E$5="All","&lt;&gt;",Dashboard!$E$5),Transactions!$J$2:$J$122,IF(Dashboard!$H$5="All","&lt;&gt;",Dashboard!$H$5))</f>
        <v>15.57</v>
      </c>
    </row>
    <row r="8" customFormat="false" ht="15" hidden="false" customHeight="false" outlineLevel="0" collapsed="false">
      <c r="A8" s="20" t="s">
        <v>228</v>
      </c>
      <c r="B8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Fines/Legal")</f>
        <v>173.02</v>
      </c>
      <c r="C8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Fines/Legal")</f>
        <v>2</v>
      </c>
      <c r="D8" s="20"/>
      <c r="E8" s="20"/>
      <c r="F8" s="20"/>
      <c r="G8" s="20"/>
      <c r="H8" s="20"/>
      <c r="I8" s="20"/>
      <c r="J8" s="20"/>
      <c r="K8" s="20"/>
      <c r="L8" s="20"/>
      <c r="M8" s="20" t="s">
        <v>225</v>
      </c>
      <c r="N8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Mint Mobile Subscription")</f>
        <v>267.12</v>
      </c>
      <c r="O8" s="20"/>
      <c r="P8" s="20"/>
      <c r="Q8" s="20" t="s">
        <v>263</v>
      </c>
      <c r="R8" s="21" t="n">
        <f aca="false">SUMIFS(Transactions!$I$2:$I$122,Transactions!$B$2:$B$122,"2026-01-17",Transactions!$G$2:$G$122,IF(Dashboard!$E$5="All","&lt;&gt;",Dashboard!$E$5),Transactions!$J$2:$J$122,IF(Dashboard!$H$5="All","&lt;&gt;",Dashboard!$H$5))</f>
        <v>22.84</v>
      </c>
    </row>
    <row r="9" customFormat="false" ht="15" hidden="false" customHeight="false" outlineLevel="0" collapsed="false">
      <c r="A9" s="20" t="s">
        <v>76</v>
      </c>
      <c r="B9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Gasoline")</f>
        <v>259.7</v>
      </c>
      <c r="C9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Gasoline")</f>
        <v>14</v>
      </c>
      <c r="D9" s="20"/>
      <c r="E9" s="20"/>
      <c r="F9" s="20"/>
      <c r="G9" s="20"/>
      <c r="H9" s="20"/>
      <c r="I9" s="20"/>
      <c r="J9" s="20"/>
      <c r="K9" s="20"/>
      <c r="L9" s="20"/>
      <c r="M9" s="20" t="s">
        <v>43</v>
      </c>
      <c r="N9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Desi Chowrastha Nashua NH")</f>
        <v>287.33</v>
      </c>
      <c r="O9" s="20"/>
      <c r="P9" s="20"/>
      <c r="Q9" s="20" t="s">
        <v>264</v>
      </c>
      <c r="R9" s="21" t="n">
        <f aca="false">SUMIFS(Transactions!$I$2:$I$122,Transactions!$B$2:$B$122,"2026-01-19",Transactions!$G$2:$G$122,IF(Dashboard!$E$5="All","&lt;&gt;",Dashboard!$E$5),Transactions!$J$2:$J$122,IF(Dashboard!$H$5="All","&lt;&gt;",Dashboard!$H$5))</f>
        <v>68</v>
      </c>
    </row>
    <row r="10" customFormat="false" ht="15" hidden="false" customHeight="false" outlineLevel="0" collapsed="false">
      <c r="A10" s="20" t="s">
        <v>119</v>
      </c>
      <c r="B10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Entertainment")</f>
        <v>304.4</v>
      </c>
      <c r="C10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Entertainment")</f>
        <v>3</v>
      </c>
      <c r="D10" s="20"/>
      <c r="E10" s="20"/>
      <c r="F10" s="20"/>
      <c r="G10" s="20"/>
      <c r="H10" s="20"/>
      <c r="I10" s="20"/>
      <c r="J10" s="20"/>
      <c r="K10" s="20"/>
      <c r="L10" s="20"/>
      <c r="M10" s="20" t="s">
        <v>170</v>
      </c>
      <c r="N10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Eversource Utility Bill")</f>
        <v>460.07</v>
      </c>
      <c r="O10" s="20"/>
      <c r="P10" s="20"/>
      <c r="Q10" s="20" t="s">
        <v>265</v>
      </c>
      <c r="R10" s="21" t="n">
        <f aca="false">SUMIFS(Transactions!$I$2:$I$122,Transactions!$B$2:$B$122,"2026-01-20",Transactions!$G$2:$G$122,IF(Dashboard!$E$5="All","&lt;&gt;",Dashboard!$E$5),Transactions!$J$2:$J$122,IF(Dashboard!$H$5="All","&lt;&gt;",Dashboard!$H$5))</f>
        <v>60.47</v>
      </c>
    </row>
    <row r="11" customFormat="false" ht="15" hidden="false" customHeight="false" outlineLevel="0" collapsed="false">
      <c r="A11" s="20" t="s">
        <v>72</v>
      </c>
      <c r="B11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Subscriptions")</f>
        <v>384.56</v>
      </c>
      <c r="C11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Subscriptions")</f>
        <v>8</v>
      </c>
      <c r="D11" s="20"/>
      <c r="E11" s="20"/>
      <c r="F11" s="20"/>
      <c r="G11" s="20"/>
      <c r="H11" s="20"/>
      <c r="I11" s="20"/>
      <c r="J11" s="20"/>
      <c r="K11" s="20"/>
      <c r="L11" s="20"/>
      <c r="M11" s="20" t="s">
        <v>106</v>
      </c>
      <c r="N11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F$2:$F$122,"USCIS I-765 Fee")</f>
        <v>470</v>
      </c>
      <c r="O11" s="20"/>
      <c r="P11" s="20"/>
      <c r="Q11" s="20" t="s">
        <v>266</v>
      </c>
      <c r="R11" s="21" t="n">
        <f aca="false">SUMIFS(Transactions!$I$2:$I$122,Transactions!$B$2:$B$122,"2026-01-23",Transactions!$G$2:$G$122,IF(Dashboard!$E$5="All","&lt;&gt;",Dashboard!$E$5),Transactions!$J$2:$J$122,IF(Dashboard!$H$5="All","&lt;&gt;",Dashboard!$H$5))</f>
        <v>98.78</v>
      </c>
    </row>
    <row r="12" customFormat="false" ht="15" hidden="false" customHeight="false" outlineLevel="0" collapsed="false">
      <c r="A12" s="20" t="s">
        <v>171</v>
      </c>
      <c r="B12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Utilities")</f>
        <v>460.07</v>
      </c>
      <c r="C12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Utilities")</f>
        <v>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 t="s">
        <v>267</v>
      </c>
      <c r="R12" s="21" t="n">
        <f aca="false">SUMIFS(Transactions!$I$2:$I$122,Transactions!$B$2:$B$122,"2026-01-24",Transactions!$G$2:$G$122,IF(Dashboard!$E$5="All","&lt;&gt;",Dashboard!$E$5),Transactions!$J$2:$J$122,IF(Dashboard!$H$5="All","&lt;&gt;",Dashboard!$H$5))</f>
        <v>256.99</v>
      </c>
    </row>
    <row r="13" customFormat="false" ht="15" hidden="false" customHeight="false" outlineLevel="0" collapsed="false">
      <c r="A13" s="20" t="s">
        <v>107</v>
      </c>
      <c r="B13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Government")</f>
        <v>470</v>
      </c>
      <c r="C13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Government")</f>
        <v>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 t="s">
        <v>268</v>
      </c>
      <c r="R13" s="21" t="n">
        <f aca="false">SUMIFS(Transactions!$I$2:$I$122,Transactions!$B$2:$B$122,"2026-01-27",Transactions!$G$2:$G$122,IF(Dashboard!$E$5="All","&lt;&gt;",Dashboard!$E$5),Transactions!$J$2:$J$122,IF(Dashboard!$H$5="All","&lt;&gt;",Dashboard!$H$5))</f>
        <v>332.11</v>
      </c>
    </row>
    <row r="14" customFormat="false" ht="15" hidden="false" customHeight="false" outlineLevel="0" collapsed="false">
      <c r="A14" s="20" t="s">
        <v>56</v>
      </c>
      <c r="B14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Groceries")</f>
        <v>620.41</v>
      </c>
      <c r="C14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Groceries")</f>
        <v>19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 t="s">
        <v>269</v>
      </c>
      <c r="R14" s="21" t="n">
        <f aca="false">SUMIFS(Transactions!$I$2:$I$122,Transactions!$B$2:$B$122,"2026-01-28",Transactions!$G$2:$G$122,IF(Dashboard!$E$5="All","&lt;&gt;",Dashboard!$E$5),Transactions!$J$2:$J$122,IF(Dashboard!$H$5="All","&lt;&gt;",Dashboard!$H$5))</f>
        <v>93.92</v>
      </c>
    </row>
    <row r="15" customFormat="false" ht="15" hidden="false" customHeight="false" outlineLevel="0" collapsed="false">
      <c r="A15" s="20" t="s">
        <v>44</v>
      </c>
      <c r="B15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Restaurants")</f>
        <v>666.68</v>
      </c>
      <c r="C15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Restaurants")</f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 t="s">
        <v>270</v>
      </c>
      <c r="R15" s="21" t="n">
        <f aca="false">SUMIFS(Transactions!$I$2:$I$122,Transactions!$B$2:$B$122,"2026-01-30",Transactions!$G$2:$G$122,IF(Dashboard!$E$5="All","&lt;&gt;",Dashboard!$E$5),Transactions!$J$2:$J$122,IF(Dashboard!$H$5="All","&lt;&gt;",Dashboard!$H$5))</f>
        <v>88.26</v>
      </c>
    </row>
    <row r="16" customFormat="false" ht="15" hidden="false" customHeight="false" outlineLevel="0" collapsed="false">
      <c r="A16" s="20" t="s">
        <v>37</v>
      </c>
      <c r="B16" s="21" t="n">
        <f aca="false">SUMIFS(Transactions!$I$2:$I$122,Transactions!$E$2:$E$122,IF(Dashboard!$B$5="All","&lt;&gt;",Dashboard!$B$5),Transactions!$G$2:$G$122,IF(Dashboard!$E$5="All","&lt;&gt;",Dashboard!$E$5),Transactions!$J$2:$J$122,IF(Dashboard!$H$5="All","&lt;&gt;",Dashboard!$H$5),Transactions!$G$2:$G$122,"Shopping")</f>
        <v>723.47</v>
      </c>
      <c r="C16" s="22" t="n">
        <f aca="false">COUNTIFS(Transactions!$B$2:$B$122,"&lt;&gt;",Transactions!$E$2:$E$122,IF(Dashboard!$B$5="All","&lt;&gt;",Dashboard!$B$5),Transactions!$G$2:$G$122,IF(Dashboard!$E$5="All","&lt;&gt;",Dashboard!$E$5),Transactions!$J$2:$J$122,IF(Dashboard!$H$5="All","&lt;&gt;",Dashboard!$H$5),Transactions!$G$2:$G$122,"Shopping")</f>
        <v>12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 t="s">
        <v>271</v>
      </c>
      <c r="R16" s="21" t="n">
        <f aca="false">SUMIFS(Transactions!$I$2:$I$122,Transactions!$B$2:$B$122,"2026-01-31",Transactions!$G$2:$G$122,IF(Dashboard!$E$5="All","&lt;&gt;",Dashboard!$E$5),Transactions!$J$2:$J$122,IF(Dashboard!$H$5="All","&lt;&gt;",Dashboard!$H$5))</f>
        <v>29.73</v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 t="s">
        <v>272</v>
      </c>
      <c r="R17" s="21" t="n">
        <f aca="false">SUMIFS(Transactions!$I$2:$I$122,Transactions!$B$2:$B$122,"2026-02-02",Transactions!$G$2:$G$122,IF(Dashboard!$E$5="All","&lt;&gt;",Dashboard!$E$5),Transactions!$J$2:$J$122,IF(Dashboard!$H$5="All","&lt;&gt;",Dashboard!$H$5))</f>
        <v>89.17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 t="s">
        <v>273</v>
      </c>
      <c r="R18" s="21" t="n">
        <f aca="false">SUMIFS(Transactions!$I$2:$I$122,Transactions!$B$2:$B$122,"2026-02-03",Transactions!$G$2:$G$122,IF(Dashboard!$E$5="All","&lt;&gt;",Dashboard!$E$5),Transactions!$J$2:$J$122,IF(Dashboard!$H$5="All","&lt;&gt;",Dashboard!$H$5))</f>
        <v>20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 t="s">
        <v>274</v>
      </c>
      <c r="R19" s="21" t="n">
        <f aca="false">SUMIFS(Transactions!$I$2:$I$122,Transactions!$B$2:$B$122,"2026-02-05",Transactions!$G$2:$G$122,IF(Dashboard!$E$5="All","&lt;&gt;",Dashboard!$E$5),Transactions!$J$2:$J$122,IF(Dashboard!$H$5="All","&lt;&gt;",Dashboard!$H$5))</f>
        <v>8.85</v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 t="s">
        <v>275</v>
      </c>
      <c r="R20" s="21" t="n">
        <f aca="false">SUMIFS(Transactions!$I$2:$I$122,Transactions!$B$2:$B$122,"2026-02-07",Transactions!$G$2:$G$122,IF(Dashboard!$E$5="All","&lt;&gt;",Dashboard!$E$5),Transactions!$J$2:$J$122,IF(Dashboard!$H$5="All","&lt;&gt;",Dashboard!$H$5))</f>
        <v>4.18</v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 t="s">
        <v>276</v>
      </c>
      <c r="R21" s="21" t="n">
        <f aca="false">SUMIFS(Transactions!$I$2:$I$122,Transactions!$B$2:$B$122,"2026-02-09",Transactions!$G$2:$G$122,IF(Dashboard!$E$5="All","&lt;&gt;",Dashboard!$E$5),Transactions!$J$2:$J$122,IF(Dashboard!$H$5="All","&lt;&gt;",Dashboard!$H$5))</f>
        <v>11.15</v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 t="s">
        <v>277</v>
      </c>
      <c r="R22" s="21" t="n">
        <f aca="false">SUMIFS(Transactions!$I$2:$I$122,Transactions!$B$2:$B$122,"2026-02-10",Transactions!$G$2:$G$122,IF(Dashboard!$E$5="All","&lt;&gt;",Dashboard!$E$5),Transactions!$J$2:$J$122,IF(Dashboard!$H$5="All","&lt;&gt;",Dashboard!$H$5))</f>
        <v>55.95</v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 t="s">
        <v>278</v>
      </c>
      <c r="R23" s="21" t="n">
        <f aca="false">SUMIFS(Transactions!$I$2:$I$122,Transactions!$B$2:$B$122,"2026-02-11",Transactions!$G$2:$G$122,IF(Dashboard!$E$5="All","&lt;&gt;",Dashboard!$E$5),Transactions!$J$2:$J$122,IF(Dashboard!$H$5="All","&lt;&gt;",Dashboard!$H$5))</f>
        <v>8.5</v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 t="s">
        <v>279</v>
      </c>
      <c r="R24" s="21" t="n">
        <f aca="false">SUMIFS(Transactions!$I$2:$I$122,Transactions!$B$2:$B$122,"2026-02-13",Transactions!$G$2:$G$122,IF(Dashboard!$E$5="All","&lt;&gt;",Dashboard!$E$5),Transactions!$J$2:$J$122,IF(Dashboard!$H$5="All","&lt;&gt;",Dashboard!$H$5))</f>
        <v>70.06</v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 t="s">
        <v>280</v>
      </c>
      <c r="R25" s="21" t="n">
        <f aca="false">SUMIFS(Transactions!$I$2:$I$122,Transactions!$B$2:$B$122,"2026-02-15",Transactions!$G$2:$G$122,IF(Dashboard!$E$5="All","&lt;&gt;",Dashboard!$E$5),Transactions!$J$2:$J$122,IF(Dashboard!$H$5="All","&lt;&gt;",Dashboard!$H$5))</f>
        <v>122.69</v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 t="s">
        <v>281</v>
      </c>
      <c r="R26" s="21" t="n">
        <f aca="false">SUMIFS(Transactions!$I$2:$I$122,Transactions!$B$2:$B$122,"2026-02-16",Transactions!$G$2:$G$122,IF(Dashboard!$E$5="All","&lt;&gt;",Dashboard!$E$5),Transactions!$J$2:$J$122,IF(Dashboard!$H$5="All","&lt;&gt;",Dashboard!$H$5))</f>
        <v>24.93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 t="s">
        <v>282</v>
      </c>
      <c r="R27" s="21" t="n">
        <f aca="false">SUMIFS(Transactions!$I$2:$I$122,Transactions!$B$2:$B$122,"2026-02-18",Transactions!$G$2:$G$122,IF(Dashboard!$E$5="All","&lt;&gt;",Dashboard!$E$5),Transactions!$J$2:$J$122,IF(Dashboard!$H$5="All","&lt;&gt;",Dashboard!$H$5))</f>
        <v>113.51</v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 t="s">
        <v>283</v>
      </c>
      <c r="R28" s="21" t="n">
        <f aca="false">SUMIFS(Transactions!$I$2:$I$122,Transactions!$B$2:$B$122,"2026-02-19",Transactions!$G$2:$G$122,IF(Dashboard!$E$5="All","&lt;&gt;",Dashboard!$E$5),Transactions!$J$2:$J$122,IF(Dashboard!$H$5="All","&lt;&gt;",Dashboard!$H$5))</f>
        <v>8.34</v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 t="s">
        <v>284</v>
      </c>
      <c r="R29" s="21" t="n">
        <f aca="false">SUMIFS(Transactions!$I$2:$I$122,Transactions!$B$2:$B$122,"2026-02-20",Transactions!$G$2:$G$122,IF(Dashboard!$E$5="All","&lt;&gt;",Dashboard!$E$5),Transactions!$J$2:$J$122,IF(Dashboard!$H$5="All","&lt;&gt;",Dashboard!$H$5))</f>
        <v>19.43</v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 t="s">
        <v>285</v>
      </c>
      <c r="R30" s="21" t="n">
        <f aca="false">SUMIFS(Transactions!$I$2:$I$122,Transactions!$B$2:$B$122,"2026-02-21",Transactions!$G$2:$G$122,IF(Dashboard!$E$5="All","&lt;&gt;",Dashboard!$E$5),Transactions!$J$2:$J$122,IF(Dashboard!$H$5="All","&lt;&gt;",Dashboard!$H$5))</f>
        <v>59.16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 t="s">
        <v>286</v>
      </c>
      <c r="R31" s="21" t="n">
        <f aca="false">SUMIFS(Transactions!$I$2:$I$122,Transactions!$B$2:$B$122,"2026-02-22",Transactions!$G$2:$G$122,IF(Dashboard!$E$5="All","&lt;&gt;",Dashboard!$E$5),Transactions!$J$2:$J$122,IF(Dashboard!$H$5="All","&lt;&gt;",Dashboard!$H$5))</f>
        <v>267.12</v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 t="s">
        <v>287</v>
      </c>
      <c r="R32" s="21" t="n">
        <f aca="false">SUMIFS(Transactions!$I$2:$I$122,Transactions!$B$2:$B$122,"2026-02-23",Transactions!$G$2:$G$122,IF(Dashboard!$E$5="All","&lt;&gt;",Dashboard!$E$5),Transactions!$J$2:$J$122,IF(Dashboard!$H$5="All","&lt;&gt;",Dashboard!$H$5))</f>
        <v>173.02</v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 t="s">
        <v>288</v>
      </c>
      <c r="R33" s="21" t="n">
        <f aca="false">SUMIFS(Transactions!$I$2:$I$122,Transactions!$B$2:$B$122,"2026-02-24",Transactions!$G$2:$G$122,IF(Dashboard!$E$5="All","&lt;&gt;",Dashboard!$E$5),Transactions!$J$2:$J$122,IF(Dashboard!$H$5="All","&lt;&gt;",Dashboard!$H$5))</f>
        <v>19.8</v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 t="s">
        <v>289</v>
      </c>
      <c r="R34" s="21" t="n">
        <f aca="false">SUMIFS(Transactions!$I$2:$I$122,Transactions!$B$2:$B$122,"2026-02-25",Transactions!$G$2:$G$122,IF(Dashboard!$E$5="All","&lt;&gt;",Dashboard!$E$5),Transactions!$J$2:$J$122,IF(Dashboard!$H$5="All","&lt;&gt;",Dashboard!$H$5))</f>
        <v>232.61</v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 t="s">
        <v>290</v>
      </c>
      <c r="R35" s="21" t="n">
        <f aca="false">SUMIFS(Transactions!$I$2:$I$122,Transactions!$B$2:$B$122,"2026-02-26",Transactions!$G$2:$G$122,IF(Dashboard!$E$5="All","&lt;&gt;",Dashboard!$E$5),Transactions!$J$2:$J$122,IF(Dashboard!$H$5="All","&lt;&gt;",Dashboard!$H$5))</f>
        <v>7.49</v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 t="s">
        <v>291</v>
      </c>
      <c r="R36" s="21" t="n">
        <f aca="false">SUMIFS(Transactions!$I$2:$I$122,Transactions!$B$2:$B$122,"2026-02-28",Transactions!$G$2:$G$122,IF(Dashboard!$E$5="All","&lt;&gt;",Dashboard!$E$5),Transactions!$J$2:$J$122,IF(Dashboard!$H$5="All","&lt;&gt;",Dashboard!$H$5))</f>
        <v>32.6</v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 t="s">
        <v>292</v>
      </c>
      <c r="R37" s="21" t="n">
        <f aca="false">SUMIFS(Transactions!$I$2:$I$122,Transactions!$B$2:$B$122,"2026-03-01",Transactions!$G$2:$G$122,IF(Dashboard!$E$5="All","&lt;&gt;",Dashboard!$E$5),Transactions!$J$2:$J$122,IF(Dashboard!$H$5="All","&lt;&gt;",Dashboard!$H$5))</f>
        <v>50.38</v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 t="s">
        <v>293</v>
      </c>
      <c r="R38" s="21" t="n">
        <f aca="false">SUMIFS(Transactions!$I$2:$I$122,Transactions!$B$2:$B$122,"2026-03-02",Transactions!$G$2:$G$122,IF(Dashboard!$E$5="All","&lt;&gt;",Dashboard!$E$5),Transactions!$J$2:$J$122,IF(Dashboard!$H$5="All","&lt;&gt;",Dashboard!$H$5))</f>
        <v>30.9</v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 t="s">
        <v>294</v>
      </c>
      <c r="R39" s="21" t="n">
        <f aca="false">SUMIFS(Transactions!$I$2:$I$122,Transactions!$B$2:$B$122,"2026-03-04",Transactions!$G$2:$G$122,IF(Dashboard!$E$5="All","&lt;&gt;",Dashboard!$E$5),Transactions!$J$2:$J$122,IF(Dashboard!$H$5="All","&lt;&gt;",Dashboard!$H$5))</f>
        <v>24</v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 t="s">
        <v>295</v>
      </c>
      <c r="R40" s="21" t="n">
        <f aca="false">SUMIFS(Transactions!$I$2:$I$122,Transactions!$B$2:$B$122,"2026-03-11",Transactions!$G$2:$G$122,IF(Dashboard!$E$5="All","&lt;&gt;",Dashboard!$E$5),Transactions!$J$2:$J$122,IF(Dashboard!$H$5="All","&lt;&gt;",Dashboard!$H$5))</f>
        <v>138.45</v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 t="s">
        <v>296</v>
      </c>
      <c r="R41" s="21" t="n">
        <f aca="false">SUMIFS(Transactions!$I$2:$I$122,Transactions!$B$2:$B$122,"2026-03-24",Transactions!$G$2:$G$122,IF(Dashboard!$E$5="All","&lt;&gt;",Dashboard!$E$5),Transactions!$J$2:$J$122,IF(Dashboard!$H$5="All","&lt;&gt;",Dashboard!$H$5))</f>
        <v>30.99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5" hidden="false" customHeight="true" outlineLevel="0" collapsed="false">
      <c r="A1" s="23" t="s">
        <v>297</v>
      </c>
    </row>
    <row r="2" customFormat="false" ht="18" hidden="false" customHeight="true" outlineLevel="0" collapsed="false"/>
    <row r="3" customFormat="false" ht="18" hidden="false" customHeight="true" outlineLevel="0" collapsed="false">
      <c r="A3" s="24" t="s">
        <v>298</v>
      </c>
    </row>
    <row r="4" customFormat="false" ht="18" hidden="false" customHeight="true" outlineLevel="0" collapsed="false">
      <c r="A4" s="24" t="s">
        <v>299</v>
      </c>
    </row>
    <row r="5" customFormat="false" ht="18" hidden="false" customHeight="true" outlineLevel="0" collapsed="false">
      <c r="A5" s="24" t="s">
        <v>300</v>
      </c>
    </row>
    <row r="6" customFormat="false" ht="18" hidden="false" customHeight="true" outlineLevel="0" collapsed="false"/>
    <row r="7" customFormat="false" ht="18" hidden="false" customHeight="true" outlineLevel="0" collapsed="false">
      <c r="A7" s="24" t="s">
        <v>301</v>
      </c>
    </row>
    <row r="8" customFormat="false" ht="18" hidden="false" customHeight="true" outlineLevel="0" collapsed="false">
      <c r="A8" s="24" t="s">
        <v>302</v>
      </c>
    </row>
    <row r="9" customFormat="false" ht="18" hidden="false" customHeight="true" outlineLevel="0" collapsed="false">
      <c r="A9" s="24" t="s">
        <v>303</v>
      </c>
    </row>
    <row r="10" customFormat="false" ht="18" hidden="false" customHeight="true" outlineLevel="0" collapsed="false"/>
    <row r="11" customFormat="false" ht="18" hidden="false" customHeight="true" outlineLevel="0" collapsed="false">
      <c r="A11" s="24" t="s">
        <v>304</v>
      </c>
    </row>
    <row r="12" customFormat="false" ht="18" hidden="false" customHeight="true" outlineLevel="0" collapsed="false">
      <c r="A12" s="24" t="s">
        <v>305</v>
      </c>
    </row>
    <row r="13" customFormat="false" ht="18" hidden="false" customHeight="true" outlineLevel="0" collapsed="false"/>
    <row r="14" customFormat="false" ht="18" hidden="false" customHeight="true" outlineLevel="0" collapsed="false">
      <c r="A14" s="24" t="s">
        <v>306</v>
      </c>
    </row>
    <row r="15" customFormat="false" ht="18" hidden="false" customHeight="true" outlineLevel="0" collapsed="false">
      <c r="A15" s="24" t="s">
        <v>307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24" t="s">
        <v>308</v>
      </c>
    </row>
    <row r="18" customFormat="false" ht="18" hidden="false" customHeight="true" outlineLevel="0" collapsed="false"/>
    <row r="19" customFormat="false" ht="19.5" hidden="false" customHeight="true" outlineLevel="0" collapsed="false">
      <c r="A19" s="25" t="s">
        <v>309</v>
      </c>
    </row>
    <row r="20" customFormat="false" ht="18" hidden="false" customHeight="true" outlineLevel="0" collapsed="false">
      <c r="A20" s="24" t="s">
        <v>310</v>
      </c>
    </row>
    <row r="21" customFormat="false" ht="18" hidden="false" customHeight="true" outlineLevel="0" collapsed="false">
      <c r="A21" s="24" t="s">
        <v>311</v>
      </c>
    </row>
    <row r="22" customFormat="false" ht="18" hidden="false" customHeight="true" outlineLevel="0" collapsed="false">
      <c r="A22" s="24" t="s">
        <v>312</v>
      </c>
    </row>
    <row r="23" customFormat="false" ht="18" hidden="false" customHeight="true" outlineLevel="0" collapsed="false">
      <c r="A23" s="24" t="s">
        <v>313</v>
      </c>
    </row>
    <row r="24" customFormat="false" ht="18" hidden="false" customHeight="true" outlineLevel="0" collapsed="false">
      <c r="A24" s="24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2026-04-22T11:24:12Z</dcterms:created>
  <dc:creator>openpyxl</dc:creator>
  <dc:description/>
  <dc:language>en-US</dc:language>
  <cp:lastModifiedBy/>
  <dcterms:modified xsi:type="dcterms:W3CDTF">2026-04-22T11:24:13Z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